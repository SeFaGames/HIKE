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E757BCB4-07E6-AE0B-56E0-F0EEF7A6E26C}"/>
  <workbookPr filterPrivacy="1" codeName="DieseArbeitsmappe"/>
  <xr:revisionPtr revIDLastSave="0" documentId="13_ncr:1_{1AE177F1-8348-407C-8927-A2F991900211}" xr6:coauthVersionLast="47" xr6:coauthVersionMax="47" xr10:uidLastSave="{00000000-0000-0000-0000-000000000000}"/>
  <bookViews>
    <workbookView xWindow="-120" yWindow="-120" windowWidth="38640" windowHeight="21240" xr2:uid="{00000000-000D-0000-FFFF-FFFF00000000}"/>
  </bookViews>
  <sheets>
    <sheet name="Projektplan" sheetId="11" r:id="rId1"/>
  </sheets>
  <definedNames>
    <definedName name="Anzeigewoche">Projektplan!$E$9</definedName>
    <definedName name="_xlnm.Print_Titles" localSheetId="0">Projektplan!$3:$5</definedName>
    <definedName name="h_per_week">Projektplan!$F$4+Projektplan!$F$5</definedName>
    <definedName name="Heute" localSheetId="0">TODAY()</definedName>
    <definedName name="Projektanfang">Projektplan!$E$8</definedName>
    <definedName name="task_duration" localSheetId="0">Projektplan!$D1</definedName>
    <definedName name="task_end" localSheetId="0">Projektplan!$F1</definedName>
    <definedName name="task_start" localSheetId="0">Projektplan!$E1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H10" i="11" l="1"/>
  <c r="CH9" i="11" s="1"/>
  <c r="CH11" i="11"/>
  <c r="BT10" i="11"/>
  <c r="BT9" i="11" s="1"/>
  <c r="BT11" i="11"/>
  <c r="BM10" i="11"/>
  <c r="BM9" i="11" s="1"/>
  <c r="BM11" i="11"/>
  <c r="BL10" i="11"/>
  <c r="BL11" i="11" s="1"/>
  <c r="F34" i="11"/>
  <c r="E34" i="11" s="1"/>
  <c r="F33" i="11"/>
  <c r="E33" i="11" s="1"/>
  <c r="E27" i="11"/>
  <c r="F32" i="11"/>
  <c r="E32" i="11"/>
  <c r="D7" i="11"/>
  <c r="W4" i="11" s="1"/>
  <c r="D6" i="11"/>
  <c r="F5" i="11"/>
  <c r="F4" i="11"/>
  <c r="H12" i="11"/>
  <c r="CI10" i="11" l="1"/>
  <c r="BU10" i="11"/>
  <c r="BN10" i="11"/>
  <c r="P4" i="11"/>
  <c r="D36" i="11" s="1"/>
  <c r="G4" i="11"/>
  <c r="CI11" i="11" l="1"/>
  <c r="CJ10" i="11"/>
  <c r="BU11" i="11"/>
  <c r="BV10" i="11"/>
  <c r="BN11" i="11"/>
  <c r="BO10" i="11"/>
  <c r="E14" i="11"/>
  <c r="F14" i="11" s="1" a="1"/>
  <c r="F14" i="11" s="1"/>
  <c r="I10" i="11"/>
  <c r="I11" i="11" s="1"/>
  <c r="H37" i="11"/>
  <c r="H36" i="11"/>
  <c r="H31" i="11"/>
  <c r="H25" i="11"/>
  <c r="H18" i="11"/>
  <c r="H13" i="11"/>
  <c r="CJ11" i="11" l="1"/>
  <c r="CK10" i="11"/>
  <c r="BV11" i="11"/>
  <c r="BW10" i="11"/>
  <c r="BO11" i="11"/>
  <c r="BP10" i="11"/>
  <c r="E15" i="11"/>
  <c r="F15" i="11" s="1" a="1"/>
  <c r="F15" i="11" s="1"/>
  <c r="E19" i="11"/>
  <c r="F19" i="11" s="1" a="1"/>
  <c r="F19" i="11" s="1"/>
  <c r="E20" i="11" s="1"/>
  <c r="F20" i="11" s="1" a="1"/>
  <c r="F20" i="11" s="1"/>
  <c r="H14" i="11"/>
  <c r="CK11" i="11" l="1"/>
  <c r="CL10" i="11"/>
  <c r="BW11" i="11"/>
  <c r="BX10" i="11"/>
  <c r="BP11" i="11"/>
  <c r="BQ10" i="11"/>
  <c r="H32" i="11"/>
  <c r="H15" i="11"/>
  <c r="H19" i="11"/>
  <c r="J10" i="11"/>
  <c r="I9" i="11"/>
  <c r="CL11" i="11" l="1"/>
  <c r="CM10" i="11"/>
  <c r="BX11" i="11"/>
  <c r="BY10" i="11"/>
  <c r="BQ11" i="11"/>
  <c r="BR10" i="11"/>
  <c r="E26" i="11"/>
  <c r="F26" i="11" s="1" a="1"/>
  <c r="F26" i="11" s="1"/>
  <c r="E21" i="11" s="1"/>
  <c r="F21" i="11" s="1" a="1"/>
  <c r="F21" i="11" s="1"/>
  <c r="E22" i="11" s="1"/>
  <c r="K10" i="11"/>
  <c r="J11" i="11"/>
  <c r="H20" i="11"/>
  <c r="CM11" i="11" l="1"/>
  <c r="CN10" i="11"/>
  <c r="CN11" i="11" s="1"/>
  <c r="BY11" i="11"/>
  <c r="BZ10" i="11"/>
  <c r="BR11" i="11"/>
  <c r="BS10" i="11"/>
  <c r="BS11" i="11" s="1"/>
  <c r="F27" i="11" a="1"/>
  <c r="F27" i="11" s="1"/>
  <c r="E16" i="11" s="1"/>
  <c r="H26" i="11"/>
  <c r="F22" i="11" a="1"/>
  <c r="F22" i="11" s="1"/>
  <c r="L10" i="11"/>
  <c r="K11" i="11"/>
  <c r="H21" i="11"/>
  <c r="CA10" i="11" l="1"/>
  <c r="BZ11" i="11"/>
  <c r="F16" i="11" a="1"/>
  <c r="F16" i="11" s="1"/>
  <c r="H16" i="11"/>
  <c r="H27" i="11"/>
  <c r="H22" i="11"/>
  <c r="M10" i="11"/>
  <c r="L11" i="11"/>
  <c r="CB10" i="11" l="1"/>
  <c r="CA9" i="11"/>
  <c r="CA11" i="11"/>
  <c r="E23" i="11"/>
  <c r="F23" i="11" s="1" a="1"/>
  <c r="F23" i="11" s="1"/>
  <c r="E29" i="11" s="1"/>
  <c r="N10" i="11"/>
  <c r="M11" i="11"/>
  <c r="CC10" i="11" l="1"/>
  <c r="CB11" i="11"/>
  <c r="H29" i="11"/>
  <c r="O10" i="11"/>
  <c r="N11" i="11"/>
  <c r="CC11" i="11" l="1"/>
  <c r="CD10" i="11"/>
  <c r="P10" i="11"/>
  <c r="O11" i="11"/>
  <c r="CD11" i="11" l="1"/>
  <c r="CE10" i="11"/>
  <c r="P11" i="11"/>
  <c r="P9" i="11"/>
  <c r="Q10" i="11"/>
  <c r="CF10" i="11" l="1"/>
  <c r="CE11" i="11"/>
  <c r="R10" i="11"/>
  <c r="Q11" i="11"/>
  <c r="CF11" i="11" l="1"/>
  <c r="CG10" i="11"/>
  <c r="CG11" i="11" s="1"/>
  <c r="S10" i="11"/>
  <c r="R11" i="11"/>
  <c r="T10" i="11" l="1"/>
  <c r="S11" i="11"/>
  <c r="U10" i="11" l="1"/>
  <c r="T11" i="11"/>
  <c r="V10" i="11" l="1"/>
  <c r="U11" i="11"/>
  <c r="W10" i="11" l="1"/>
  <c r="V11" i="11"/>
  <c r="W11" i="11" l="1"/>
  <c r="W9" i="11"/>
  <c r="X10" i="11"/>
  <c r="Y10" i="11" l="1"/>
  <c r="X11" i="11"/>
  <c r="Z10" i="11" l="1"/>
  <c r="Y11" i="11"/>
  <c r="AA10" i="11" l="1"/>
  <c r="Z11" i="11"/>
  <c r="AB10" i="11" l="1"/>
  <c r="AA11" i="11"/>
  <c r="AC10" i="11" l="1"/>
  <c r="AB11" i="11"/>
  <c r="AD10" i="11" l="1"/>
  <c r="AC11" i="11"/>
  <c r="AD11" i="11" l="1"/>
  <c r="AE10" i="11"/>
  <c r="AD9" i="11"/>
  <c r="AF10" i="11" l="1"/>
  <c r="AE11" i="11"/>
  <c r="AG10" i="11" l="1"/>
  <c r="AF11" i="11"/>
  <c r="AH10" i="11" l="1"/>
  <c r="AG11" i="11"/>
  <c r="AI10" i="11" l="1"/>
  <c r="AH11" i="11"/>
  <c r="AJ10" i="11" l="1"/>
  <c r="AI11" i="11"/>
  <c r="AJ11" i="11" l="1"/>
  <c r="AK10" i="11"/>
  <c r="AL10" i="11" l="1"/>
  <c r="AK11" i="11"/>
  <c r="AK9" i="11"/>
  <c r="AM10" i="11" l="1"/>
  <c r="AL11" i="11"/>
  <c r="AN10" i="11" l="1"/>
  <c r="AM11" i="11"/>
  <c r="AO10" i="11" l="1"/>
  <c r="AN11" i="11"/>
  <c r="AP10" i="11" l="1"/>
  <c r="AO11" i="11"/>
  <c r="AQ10" i="11" l="1"/>
  <c r="AP11" i="11"/>
  <c r="AQ11" i="11" l="1"/>
  <c r="AR10" i="11"/>
  <c r="AS10" i="11" l="1"/>
  <c r="AR11" i="11"/>
  <c r="AR9" i="11"/>
  <c r="AS11" i="11" l="1"/>
  <c r="AT10" i="11"/>
  <c r="AT11" i="11" l="1"/>
  <c r="AU10" i="11"/>
  <c r="AU11" i="11" l="1"/>
  <c r="AV10" i="11"/>
  <c r="AV11" i="11" l="1"/>
  <c r="AW10" i="11"/>
  <c r="AW11" i="11" l="1"/>
  <c r="AX10" i="11"/>
  <c r="AY10" i="11" l="1"/>
  <c r="AX11" i="11"/>
  <c r="AY11" i="11" l="1"/>
  <c r="AZ10" i="11"/>
  <c r="AY9" i="11"/>
  <c r="AZ11" i="11" l="1"/>
  <c r="BA10" i="11"/>
  <c r="BA11" i="11" l="1"/>
  <c r="BB10" i="11"/>
  <c r="BB11" i="11" l="1"/>
  <c r="BC10" i="11"/>
  <c r="BC11" i="11" l="1"/>
  <c r="BD10" i="11"/>
  <c r="BD11" i="11" l="1"/>
  <c r="BE10" i="11"/>
  <c r="BE11" i="11" l="1"/>
  <c r="BF10" i="11"/>
  <c r="BF11" i="11" l="1"/>
  <c r="BG10" i="11"/>
  <c r="BF9" i="11"/>
  <c r="BG11" i="11" l="1"/>
  <c r="BH10" i="11"/>
  <c r="BH11" i="11" l="1"/>
  <c r="BI10" i="11"/>
  <c r="BI11" i="11" l="1"/>
  <c r="BJ10" i="11"/>
  <c r="BJ11" i="11" l="1"/>
  <c r="BK10" i="11"/>
  <c r="BK11" i="11" l="1"/>
  <c r="F29" i="11" l="1" a="1"/>
  <c r="F29" i="11" s="1"/>
  <c r="E28" i="11" l="1"/>
  <c r="H28" i="11" l="1"/>
  <c r="F28" i="11" a="1"/>
  <c r="F28" i="11" s="1"/>
  <c r="E17" i="11" s="1"/>
  <c r="F17" i="11" s="1" a="1"/>
  <c r="F17" i="11" s="1"/>
  <c r="E24" i="11" s="1"/>
  <c r="F24" i="11" s="1" a="1"/>
  <c r="F24" i="11" s="1"/>
  <c r="E30" i="11" s="1"/>
  <c r="H24" i="11" l="1"/>
  <c r="F30" i="11" a="1"/>
  <c r="F30" i="11" s="1"/>
  <c r="H30"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<sst xmlns="http://schemas.openxmlformats.org/spreadsheetml/2006/main" count="54" uniqueCount="52">
  <si>
    <t>Erstellen Sie auf diesem Arbeitsblatt einen Projektplan.
Geben Sie den Titel dieses Projekts in Zelle B1 ein. 
Informationen zur Verwendung dieses Arbeitsblatts, einschließlich Anweisungen für die Sprachausgabe und den Verfasser dieser Arbeitsmappe, finden Sie auf dem Arbeitsblatt "Info".
Navigieren Sie weiterhin in Spalte A abwärts, um weitere Anweisungen zu hören.</t>
  </si>
  <si>
    <t>Geben Sie den Firmennamen in Zelle B2 ein.</t>
  </si>
  <si>
    <t>Die Zelle rechts enthält den Beispieltitel „Phase 2“. 
Sie können jederzeit in Spalte B eine neue Phase erstellen. In diesem Projektplan sind keine Phasen erforderlich. Um die Phase zu entfernen, löschen Sie einfach die Zeile.
Zum Erstellen eines neuen Phasenblocks in dieser Zeile geben Sie in der Zelle rechts einen Titel ein.
Um der Phase oben weitere Aufgaben hinzuzufügen, geben Sie über dieser Zeile eine neue Zeile ein, und tragen Sie die Aufgabendaten wie in den Anweisungen in Zelle A9 ein.
Aktualisieren Sie die Phasendetails in der Zelle rechts basierend auf den Anweisungen in Zelle A8.
Navigieren Sie weiter nach unten durch die Spaltenzellen A, um weitere Informationen zu erhalten.
Wenn Sie in diesem Arbeitsblatt keine neuen Zeilen hinzugefügt haben, werden Sie sehen, dass in den Zellen B20 und B26 2 weitere Phasenblöcke für Sie erstellt wurden. Navigieren Sie andernfalls durch die Spaltenzellen A, um die zusätzlichen Blöcke zu finden. 
Wiederholen Sie bei Bedarf die Anweisungen aus den Zellen A8 und A9.</t>
  </si>
  <si>
    <t>Neue Zeilen ÜBER dieser einfügen</t>
  </si>
  <si>
    <t>Projektanfang:</t>
  </si>
  <si>
    <t>Anzeigewoche:</t>
  </si>
  <si>
    <t>START</t>
  </si>
  <si>
    <t>ENDE</t>
  </si>
  <si>
    <t>TAGE</t>
  </si>
  <si>
    <t>Fabian Siemens</t>
  </si>
  <si>
    <t>Matthias Mersdorf</t>
  </si>
  <si>
    <t>Projektteam</t>
  </si>
  <si>
    <t>HIKE-HarzVR</t>
  </si>
  <si>
    <r>
      <rPr>
        <b/>
        <sz val="16"/>
        <color theme="1"/>
        <rFont val="Calibri"/>
        <family val="2"/>
        <scheme val="minor"/>
      </rPr>
      <t>H</t>
    </r>
    <r>
      <rPr>
        <sz val="16"/>
        <color theme="1"/>
        <rFont val="Calibri"/>
        <family val="2"/>
        <scheme val="minor"/>
      </rPr>
      <t xml:space="preserve">arzer </t>
    </r>
    <r>
      <rPr>
        <b/>
        <sz val="16"/>
        <color theme="1"/>
        <rFont val="Calibri"/>
        <family val="2"/>
        <scheme val="minor"/>
      </rPr>
      <t>i</t>
    </r>
    <r>
      <rPr>
        <sz val="16"/>
        <color theme="1"/>
        <rFont val="Calibri"/>
        <family val="2"/>
        <scheme val="minor"/>
      </rPr>
      <t xml:space="preserve">nteraktives </t>
    </r>
    <r>
      <rPr>
        <b/>
        <sz val="16"/>
        <color theme="1"/>
        <rFont val="Calibri"/>
        <family val="2"/>
        <scheme val="minor"/>
      </rPr>
      <t>K</t>
    </r>
    <r>
      <rPr>
        <sz val="16"/>
        <color theme="1"/>
        <rFont val="Calibri"/>
        <family val="2"/>
        <scheme val="minor"/>
      </rPr>
      <t>arten-</t>
    </r>
    <r>
      <rPr>
        <b/>
        <sz val="16"/>
        <color theme="1"/>
        <rFont val="Calibri"/>
        <family val="2"/>
        <scheme val="minor"/>
      </rPr>
      <t>E</t>
    </r>
    <r>
      <rPr>
        <sz val="16"/>
        <color theme="1"/>
        <rFont val="Calibri"/>
        <family val="2"/>
        <scheme val="minor"/>
      </rPr>
      <t>rlebnis</t>
    </r>
  </si>
  <si>
    <t>Erfahrungsstand</t>
  </si>
  <si>
    <t>gering</t>
  </si>
  <si>
    <t>Effektivitäts-faktor</t>
  </si>
  <si>
    <t>Effektive Stunden pro Woche</t>
  </si>
  <si>
    <t>Wochen bis Zwischenpräsentation:</t>
  </si>
  <si>
    <t>Wochen bis Endpräsentation:</t>
  </si>
  <si>
    <t>Effektive Stunden bis Zwischenpräs.</t>
  </si>
  <si>
    <t>Effektive Stunden bis Endpräs.</t>
  </si>
  <si>
    <t>DGM-Daten</t>
  </si>
  <si>
    <t>Stempelstellen</t>
  </si>
  <si>
    <t>AUFGABENPAKETE</t>
  </si>
  <si>
    <t xml:space="preserve">Index
</t>
  </si>
  <si>
    <t>Datenakquisition</t>
  </si>
  <si>
    <t>Tatsächliche Arbeitsstunden bis Endpräs.</t>
  </si>
  <si>
    <t>Stempelstellen importieren &amp; positionieren</t>
  </si>
  <si>
    <t>DGM Konvertieren und in Unity importieren</t>
  </si>
  <si>
    <t>DAUER (EFFEKTIV) IN H</t>
  </si>
  <si>
    <t>DONE</t>
  </si>
  <si>
    <t>Interaktion</t>
  </si>
  <si>
    <t>Umgebung</t>
  </si>
  <si>
    <t>Texturen (Sattelitenbild)</t>
  </si>
  <si>
    <t xml:space="preserve">Assets (Stempelstellen, Bäume, etc.) </t>
  </si>
  <si>
    <t>Wanderrouten darstellen</t>
  </si>
  <si>
    <t>Dokumentation</t>
  </si>
  <si>
    <t>Backlog dokumentieren</t>
  </si>
  <si>
    <t>Stempelstelleninfo</t>
  </si>
  <si>
    <t>Wanderrouteninfo</t>
  </si>
  <si>
    <t>Zwischenpräsentation</t>
  </si>
  <si>
    <t>Abschlusspräsentation</t>
  </si>
  <si>
    <r>
      <t xml:space="preserve">Wanderroutenauswahlmenü </t>
    </r>
    <r>
      <rPr>
        <i/>
        <sz val="10"/>
        <color theme="1"/>
        <rFont val="Calibri"/>
        <family val="2"/>
        <scheme val="minor"/>
      </rPr>
      <t>(Optional)</t>
    </r>
  </si>
  <si>
    <r>
      <t xml:space="preserve">Google Street View </t>
    </r>
    <r>
      <rPr>
        <i/>
        <sz val="10"/>
        <color theme="1"/>
        <rFont val="Calibri"/>
        <family val="2"/>
        <scheme val="minor"/>
      </rPr>
      <t>(Optional)</t>
    </r>
  </si>
  <si>
    <r>
      <t xml:space="preserve">Google Street View API </t>
    </r>
    <r>
      <rPr>
        <i/>
        <sz val="10"/>
        <color theme="1"/>
        <rFont val="Calibri"/>
        <family val="2"/>
        <scheme val="minor"/>
      </rPr>
      <t>(Optional)</t>
    </r>
  </si>
  <si>
    <r>
      <t xml:space="preserve">Google Street View Punkte </t>
    </r>
    <r>
      <rPr>
        <i/>
        <sz val="10"/>
        <color theme="1"/>
        <rFont val="Calibri"/>
        <family val="2"/>
        <scheme val="minor"/>
      </rPr>
      <t>(Optional)</t>
    </r>
  </si>
  <si>
    <t>Wanderrouten</t>
  </si>
  <si>
    <t>Vorlage (stark modifiziert) von Vertex42.com</t>
  </si>
  <si>
    <t>VR Steuerung &amp; Menü</t>
  </si>
  <si>
    <t>Benötigte Arbeitszeit zu verfügbare Arbeitszeit:</t>
  </si>
  <si>
    <t>Verfügbare Stunden pro Woche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</si>
</sst>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d\.m\.yy;@"/>
    <numFmt numFmtId="167" formatCode="ddd\,\ d/m/yyyy"/>
    <numFmt numFmtId="168" formatCode="d/m/yy;@"/>
    <numFmt numFmtId="169" formatCode="d/\ mmm\ yyyy"/>
    <numFmt numFmtId="170" formatCode="d"/>
  </numFmts>
  <fonts count="39"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sz val="11"/>
      <color theme="0"/>
      <name val="Calibri"/>
      <family val="2"/>
      <scheme val="minor"/>
    </font>
    <font>
      <b/>
      <sz val="11"/>
      <name val="Calibri"/>
      <family val="2"/>
      <scheme val="minor"/>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2"/>
      <color theme="1"/>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3"/>
      <color theme="1"/>
      <name val="Calibri"/>
      <family val="2"/>
      <scheme val="minor"/>
    </font>
    <font>
      <sz val="12"/>
      <name val="Calibri"/>
      <family val="2"/>
      <scheme val="minor"/>
    </font>
    <font>
      <b/>
      <sz val="12"/>
      <color theme="1"/>
      <name val="Calibri"/>
      <family val="2"/>
      <scheme val="minor"/>
    </font>
    <font>
      <b/>
      <sz val="13"/>
      <name val="Calibri"/>
      <family val="2"/>
      <scheme val="minor"/>
    </font>
    <font>
      <i/>
      <sz val="10"/>
      <color theme="1"/>
      <name val="Calibri"/>
      <family val="2"/>
      <scheme val="minor"/>
    </font>
    <font>
      <sz val="11"/>
      <color rgb="FF000000"/>
      <name val="Calibri"/>
      <family val="2"/>
    </font>
    <font>
      <sz val="14"/>
      <color theme="0"/>
      <name val="Calibri"/>
      <family val="2"/>
      <scheme val="minor"/>
    </font>
  </fonts>
  <fills count="4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darkUp">
        <fgColor rgb="FFFFC000"/>
        <bgColor theme="0"/>
      </patternFill>
    </fill>
    <fill>
      <patternFill patternType="darkUp">
        <fgColor theme="9"/>
        <bgColor theme="0"/>
      </patternFill>
    </fill>
  </fills>
  <borders count="36">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indexed="64"/>
      </left>
      <right style="thin">
        <color theme="0" tint="-0.499984740745262"/>
      </right>
      <top style="thin">
        <color theme="0" tint="-0.499984740745262"/>
      </top>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top/>
      <bottom style="thin">
        <color theme="0" tint="-0.34998626667073579"/>
      </bottom>
      <diagonal/>
    </border>
    <border>
      <left/>
      <right style="thin">
        <color theme="0" tint="-0.499984740745262"/>
      </right>
      <top style="thin">
        <color theme="0" tint="-0.499984740745262"/>
      </top>
      <bottom/>
      <diagonal/>
    </border>
    <border>
      <left/>
      <right style="thin">
        <color theme="0" tint="-0.499984740745262"/>
      </right>
      <top/>
      <bottom style="thin">
        <color theme="0" tint="-0.34998626667073579"/>
      </bottom>
      <diagonal/>
    </border>
  </borders>
  <cellStyleXfs count="54">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14" fillId="0" borderId="0"/>
    <xf numFmtId="165"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7" fontId="9" fillId="0" borderId="3">
      <alignment horizontal="center" vertical="center"/>
    </xf>
    <xf numFmtId="168" fontId="9" fillId="0" borderId="2" applyFill="0">
      <alignment horizontal="center" vertical="center"/>
    </xf>
    <xf numFmtId="0" fontId="9" fillId="0" borderId="2" applyFill="0">
      <alignment horizontal="center" vertical="center"/>
    </xf>
    <xf numFmtId="0" fontId="9" fillId="0" borderId="2" applyFill="0">
      <alignment horizontal="left" vertical="center" indent="2"/>
    </xf>
    <xf numFmtId="0" fontId="16" fillId="0" borderId="0" applyNumberFormat="0" applyFill="0" applyBorder="0" applyAlignment="0" applyProtection="0"/>
    <xf numFmtId="164" fontId="9" fillId="0" borderId="0" applyFont="0" applyFill="0" applyBorder="0" applyAlignment="0" applyProtection="0"/>
    <xf numFmtId="44" fontId="9" fillId="0" borderId="0" applyFont="0" applyFill="0" applyBorder="0" applyAlignment="0" applyProtection="0"/>
    <xf numFmtId="42" fontId="9" fillId="0" borderId="0" applyFont="0" applyFill="0" applyBorder="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25" fillId="19" borderId="13" applyNumberFormat="0" applyAlignment="0" applyProtection="0"/>
    <xf numFmtId="0" fontId="26" fillId="0" borderId="0" applyNumberFormat="0" applyFill="0" applyBorder="0" applyAlignment="0" applyProtection="0"/>
    <xf numFmtId="0" fontId="9" fillId="20" borderId="14" applyNumberFormat="0" applyFont="0" applyAlignment="0" applyProtection="0"/>
    <xf numFmtId="0" fontId="27" fillId="0" borderId="0" applyNumberFormat="0" applyFill="0" applyBorder="0" applyAlignment="0" applyProtection="0"/>
    <xf numFmtId="0" fontId="6" fillId="0" borderId="15" applyNumberFormat="0" applyFill="0" applyAlignment="0" applyProtection="0"/>
    <xf numFmtId="0" fontId="14"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4"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4"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4"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4"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9" fillId="40" borderId="0" applyNumberFormat="0" applyBorder="0" applyAlignment="0" applyProtection="0"/>
    <xf numFmtId="0" fontId="14"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9" fillId="44" borderId="0" applyNumberFormat="0" applyBorder="0" applyAlignment="0" applyProtection="0"/>
  </cellStyleXfs>
  <cellXfs count="116">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0" fontId="12" fillId="12" borderId="8" xfId="0" applyFont="1" applyFill="1" applyBorder="1" applyAlignment="1">
      <alignment horizontal="center" vertical="center" shrinkToFit="1"/>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14" fillId="0" borderId="0" xfId="3"/>
    <xf numFmtId="0" fontId="14" fillId="0" borderId="0" xfId="3" applyAlignment="1">
      <alignment wrapText="1"/>
    </xf>
    <xf numFmtId="0" fontId="0" fillId="0" borderId="0" xfId="0" applyAlignment="1">
      <alignment wrapText="1"/>
    </xf>
    <xf numFmtId="0" fontId="13" fillId="0" borderId="0" xfId="5" applyAlignment="1">
      <alignment horizontal="left"/>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15" fillId="0" borderId="0" xfId="0" applyFont="1"/>
    <xf numFmtId="166" fontId="9" fillId="3" borderId="2" xfId="10" applyNumberFormat="1" applyFill="1">
      <alignment horizontal="center" vertical="center"/>
    </xf>
    <xf numFmtId="166" fontId="0" fillId="9" borderId="2" xfId="0" applyNumberFormat="1" applyFill="1" applyBorder="1" applyAlignment="1">
      <alignment horizontal="center" vertical="center"/>
    </xf>
    <xf numFmtId="166" fontId="5" fillId="9" borderId="2" xfId="0" applyNumberFormat="1" applyFont="1" applyFill="1" applyBorder="1" applyAlignment="1">
      <alignment horizontal="center" vertical="center"/>
    </xf>
    <xf numFmtId="166" fontId="9" fillId="4" borderId="2" xfId="10" applyNumberFormat="1" applyFill="1">
      <alignment horizontal="center" vertical="center"/>
    </xf>
    <xf numFmtId="166" fontId="0" fillId="6" borderId="2" xfId="0" applyNumberFormat="1" applyFill="1" applyBorder="1" applyAlignment="1">
      <alignment horizontal="center" vertical="center"/>
    </xf>
    <xf numFmtId="166" fontId="5" fillId="6" borderId="2" xfId="0" applyNumberFormat="1" applyFont="1" applyFill="1" applyBorder="1" applyAlignment="1">
      <alignment horizontal="center" vertical="center"/>
    </xf>
    <xf numFmtId="166" fontId="9" fillId="11" borderId="2" xfId="10" applyNumberFormat="1" applyFill="1">
      <alignment horizontal="center" vertical="center"/>
    </xf>
    <xf numFmtId="166" fontId="0" fillId="5" borderId="2" xfId="0" applyNumberFormat="1" applyFill="1" applyBorder="1" applyAlignment="1">
      <alignment horizontal="center" vertical="center"/>
    </xf>
    <xf numFmtId="166" fontId="5" fillId="5" borderId="2" xfId="0" applyNumberFormat="1" applyFont="1" applyFill="1" applyBorder="1" applyAlignment="1">
      <alignment horizontal="center" vertical="center"/>
    </xf>
    <xf numFmtId="166" fontId="9" fillId="10" borderId="2" xfId="10" applyNumberFormat="1" applyFill="1">
      <alignment horizontal="center" vertical="center"/>
    </xf>
    <xf numFmtId="166" fontId="9" fillId="0" borderId="2" xfId="10" applyNumberFormat="1">
      <alignment horizontal="center" vertical="center"/>
    </xf>
    <xf numFmtId="166" fontId="4" fillId="2" borderId="2" xfId="0" applyNumberFormat="1" applyFont="1" applyFill="1" applyBorder="1" applyAlignment="1">
      <alignment horizontal="left" vertical="center"/>
    </xf>
    <xf numFmtId="166" fontId="5" fillId="2" borderId="2" xfId="0" applyNumberFormat="1" applyFont="1" applyFill="1" applyBorder="1" applyAlignment="1">
      <alignment horizontal="center" vertical="center"/>
    </xf>
    <xf numFmtId="170" fontId="11" fillId="7" borderId="6" xfId="0" applyNumberFormat="1" applyFont="1" applyFill="1" applyBorder="1" applyAlignment="1">
      <alignment horizontal="center" vertical="center"/>
    </xf>
    <xf numFmtId="170" fontId="11" fillId="7" borderId="0" xfId="0" applyNumberFormat="1" applyFont="1" applyFill="1" applyAlignment="1">
      <alignment horizontal="center" vertical="center"/>
    </xf>
    <xf numFmtId="170" fontId="11" fillId="7" borderId="7" xfId="0" applyNumberFormat="1" applyFont="1" applyFill="1" applyBorder="1" applyAlignment="1">
      <alignment horizontal="center" vertical="center"/>
    </xf>
    <xf numFmtId="0" fontId="28" fillId="0" borderId="0" xfId="0" applyFont="1"/>
    <xf numFmtId="0" fontId="28" fillId="0" borderId="0" xfId="0" applyFont="1" applyAlignment="1">
      <alignment horizontal="left"/>
    </xf>
    <xf numFmtId="9" fontId="28" fillId="0" borderId="0" xfId="2" applyFont="1" applyBorder="1" applyAlignment="1">
      <alignment horizontal="left"/>
    </xf>
    <xf numFmtId="0" fontId="32" fillId="0" borderId="0" xfId="0" applyFont="1"/>
    <xf numFmtId="0" fontId="32" fillId="0" borderId="18" xfId="0" applyFont="1" applyBorder="1"/>
    <xf numFmtId="0" fontId="0" fillId="0" borderId="19" xfId="0" applyBorder="1" applyAlignment="1">
      <alignment horizontal="center" vertical="center"/>
    </xf>
    <xf numFmtId="0" fontId="5" fillId="0" borderId="20" xfId="3" applyFont="1" applyBorder="1"/>
    <xf numFmtId="0" fontId="33" fillId="0" borderId="21" xfId="3" applyFont="1" applyBorder="1" applyAlignment="1">
      <alignment horizontal="left" wrapText="1"/>
    </xf>
    <xf numFmtId="0" fontId="33" fillId="0" borderId="20" xfId="3" applyFont="1" applyBorder="1" applyAlignment="1">
      <alignment horizontal="left" wrapText="1"/>
    </xf>
    <xf numFmtId="0" fontId="0" fillId="0" borderId="17" xfId="0" applyBorder="1"/>
    <xf numFmtId="0" fontId="28" fillId="0" borderId="23" xfId="0" applyFont="1" applyBorder="1" applyAlignment="1">
      <alignment horizontal="left"/>
    </xf>
    <xf numFmtId="0" fontId="28" fillId="0" borderId="24" xfId="0" applyFont="1" applyBorder="1" applyAlignment="1">
      <alignment horizontal="left"/>
    </xf>
    <xf numFmtId="0" fontId="28" fillId="0" borderId="25" xfId="0" applyFont="1" applyBorder="1" applyAlignment="1">
      <alignment horizontal="center"/>
    </xf>
    <xf numFmtId="0" fontId="28" fillId="0" borderId="28" xfId="0" applyFont="1" applyBorder="1"/>
    <xf numFmtId="0" fontId="28" fillId="0" borderId="26" xfId="0" applyFont="1" applyBorder="1" applyAlignment="1">
      <alignment horizontal="center"/>
    </xf>
    <xf numFmtId="0" fontId="32" fillId="0" borderId="27" xfId="0" applyFont="1" applyBorder="1" applyAlignment="1">
      <alignment horizontal="center" wrapText="1"/>
    </xf>
    <xf numFmtId="0" fontId="30" fillId="0" borderId="0" xfId="0" applyFont="1"/>
    <xf numFmtId="0" fontId="0" fillId="0" borderId="28" xfId="0" applyBorder="1"/>
    <xf numFmtId="0" fontId="6" fillId="8" borderId="2" xfId="0" applyFont="1" applyFill="1" applyBorder="1" applyAlignment="1">
      <alignment horizontal="center" vertical="center"/>
    </xf>
    <xf numFmtId="166" fontId="9" fillId="3" borderId="2" xfId="11" applyNumberFormat="1" applyFill="1">
      <alignment horizontal="center" vertical="center"/>
    </xf>
    <xf numFmtId="0" fontId="28" fillId="0" borderId="31" xfId="0" applyFont="1" applyBorder="1"/>
    <xf numFmtId="49" fontId="14" fillId="45" borderId="2" xfId="11" applyNumberFormat="1" applyFont="1" applyFill="1">
      <alignment horizontal="center" vertical="center"/>
    </xf>
    <xf numFmtId="0" fontId="32" fillId="0" borderId="27" xfId="0" applyFont="1" applyBorder="1" applyAlignment="1">
      <alignment horizontal="left" wrapText="1"/>
    </xf>
    <xf numFmtId="0" fontId="32" fillId="0" borderId="27" xfId="0" applyFont="1" applyBorder="1" applyAlignment="1">
      <alignment wrapText="1"/>
    </xf>
    <xf numFmtId="0" fontId="35" fillId="0" borderId="22" xfId="3" applyFont="1" applyBorder="1" applyAlignment="1">
      <alignment textRotation="90"/>
    </xf>
    <xf numFmtId="0" fontId="9" fillId="30" borderId="2" xfId="39" applyBorder="1" applyAlignment="1">
      <alignment horizontal="center" vertical="center"/>
    </xf>
    <xf numFmtId="0" fontId="0" fillId="0" borderId="32" xfId="0" applyBorder="1"/>
    <xf numFmtId="0" fontId="0" fillId="11" borderId="2" xfId="12" applyFont="1" applyFill="1">
      <alignment horizontal="left" vertical="center" indent="2"/>
    </xf>
    <xf numFmtId="0" fontId="0" fillId="3" borderId="2" xfId="12" applyFont="1" applyFill="1">
      <alignment horizontal="left" vertical="center" indent="2"/>
    </xf>
    <xf numFmtId="0" fontId="0" fillId="4" borderId="2" xfId="12" applyFont="1" applyFill="1">
      <alignment horizontal="left" vertical="center" indent="2"/>
    </xf>
    <xf numFmtId="9" fontId="6" fillId="0" borderId="2" xfId="2" applyFont="1" applyBorder="1" applyAlignment="1">
      <alignment horizontal="center" vertical="center"/>
    </xf>
    <xf numFmtId="0" fontId="0" fillId="0" borderId="27" xfId="0" applyBorder="1" applyAlignment="1">
      <alignment vertical="center"/>
    </xf>
    <xf numFmtId="0" fontId="14" fillId="0" borderId="30" xfId="3" applyBorder="1" applyAlignment="1">
      <alignment wrapText="1"/>
    </xf>
    <xf numFmtId="0" fontId="14" fillId="0" borderId="29" xfId="3" applyBorder="1"/>
    <xf numFmtId="0" fontId="0" fillId="0" borderId="30" xfId="0" applyBorder="1"/>
    <xf numFmtId="0" fontId="0" fillId="0" borderId="29" xfId="0" applyBorder="1"/>
    <xf numFmtId="0" fontId="9" fillId="0" borderId="2" xfId="12" applyAlignment="1">
      <alignment horizontal="left" vertical="center" wrapText="1" indent="2"/>
    </xf>
    <xf numFmtId="14" fontId="38" fillId="0" borderId="0" xfId="7" applyNumberFormat="1" applyFont="1">
      <alignment vertical="top"/>
    </xf>
    <xf numFmtId="169" fontId="0" fillId="7" borderId="4" xfId="0" applyNumberFormat="1" applyFill="1" applyBorder="1" applyAlignment="1">
      <alignment horizontal="left" vertical="center" wrapText="1" indent="1"/>
    </xf>
    <xf numFmtId="169" fontId="0" fillId="7" borderId="1" xfId="0" applyNumberFormat="1" applyFill="1" applyBorder="1" applyAlignment="1">
      <alignment horizontal="left" vertical="center" wrapText="1" indent="1"/>
    </xf>
    <xf numFmtId="169" fontId="0" fillId="7" borderId="5" xfId="0" applyNumberFormat="1" applyFill="1" applyBorder="1" applyAlignment="1">
      <alignment horizontal="left" vertical="center" wrapText="1" indent="1"/>
    </xf>
    <xf numFmtId="168" fontId="34" fillId="46" borderId="23" xfId="10" applyFont="1" applyFill="1" applyBorder="1">
      <alignment horizontal="center" vertical="center"/>
    </xf>
    <xf numFmtId="168" fontId="34" fillId="46" borderId="34" xfId="10" applyFont="1" applyFill="1" applyBorder="1">
      <alignment horizontal="center" vertical="center"/>
    </xf>
    <xf numFmtId="168" fontId="34" fillId="47" borderId="33" xfId="10" applyFont="1" applyFill="1" applyBorder="1">
      <alignment horizontal="center" vertical="center"/>
    </xf>
    <xf numFmtId="168" fontId="34" fillId="47" borderId="35" xfId="10" applyFont="1" applyFill="1" applyBorder="1">
      <alignment horizontal="center" vertical="center"/>
    </xf>
    <xf numFmtId="0" fontId="32" fillId="0" borderId="0" xfId="8" applyFont="1">
      <alignment horizontal="right" indent="1"/>
    </xf>
    <xf numFmtId="0" fontId="32" fillId="0" borderId="7" xfId="8" applyFont="1" applyBorder="1">
      <alignment horizontal="right" indent="1"/>
    </xf>
    <xf numFmtId="167" fontId="28" fillId="0" borderId="3" xfId="9" applyFont="1">
      <alignment horizontal="center" vertical="center"/>
    </xf>
    <xf numFmtId="0" fontId="32" fillId="0" borderId="27" xfId="0" applyFont="1" applyBorder="1" applyAlignment="1">
      <alignment horizontal="center" wrapText="1"/>
    </xf>
    <xf numFmtId="0" fontId="32" fillId="0" borderId="31" xfId="0" applyFont="1" applyBorder="1" applyAlignment="1">
      <alignment horizontal="center" wrapText="1"/>
    </xf>
    <xf numFmtId="0" fontId="29" fillId="0" borderId="0" xfId="0" applyFont="1" applyAlignment="1">
      <alignment horizontal="center" vertical="center"/>
    </xf>
    <xf numFmtId="0" fontId="29" fillId="0" borderId="16" xfId="0" applyFont="1" applyBorder="1" applyAlignment="1">
      <alignment horizontal="center" vertical="center"/>
    </xf>
    <xf numFmtId="0" fontId="29" fillId="0" borderId="28" xfId="0" applyFont="1" applyBorder="1" applyAlignment="1">
      <alignment horizontal="center" vertical="center"/>
    </xf>
    <xf numFmtId="0" fontId="29" fillId="0" borderId="30" xfId="0" applyFont="1" applyBorder="1" applyAlignment="1">
      <alignment horizontal="center" vertical="center"/>
    </xf>
    <xf numFmtId="0" fontId="29" fillId="0" borderId="29" xfId="0" applyFont="1" applyBorder="1" applyAlignment="1">
      <alignment horizontal="center" vertical="center"/>
    </xf>
  </cellXfs>
  <cellStyles count="54">
    <cellStyle name="20 % - Akzent1" xfId="31" builtinId="30" customBuiltin="1"/>
    <cellStyle name="20 % - Akzent2" xfId="35" builtinId="34" customBuiltin="1"/>
    <cellStyle name="20 % - Akzent3" xfId="39" builtinId="38" customBuiltin="1"/>
    <cellStyle name="20 % - Akzent4" xfId="43" builtinId="42" customBuiltin="1"/>
    <cellStyle name="20 % - Akzent5" xfId="47" builtinId="46" customBuiltin="1"/>
    <cellStyle name="20 % - Akzent6" xfId="51" builtinId="50" customBuiltin="1"/>
    <cellStyle name="40 % - Akzent1" xfId="32" builtinId="31" customBuiltin="1"/>
    <cellStyle name="40 % - Akzent2" xfId="36" builtinId="35" customBuiltin="1"/>
    <cellStyle name="40 % - Akzent3" xfId="40" builtinId="39" customBuiltin="1"/>
    <cellStyle name="40 % - Akzent4" xfId="44" builtinId="43" customBuiltin="1"/>
    <cellStyle name="40 % - Akzent5" xfId="48" builtinId="47" customBuiltin="1"/>
    <cellStyle name="40 % - Akzent6" xfId="52" builtinId="51" customBuiltin="1"/>
    <cellStyle name="60 % - Akzent1" xfId="33" builtinId="32" customBuiltin="1"/>
    <cellStyle name="60 % - Akzent2" xfId="37" builtinId="36" customBuiltin="1"/>
    <cellStyle name="60 % - Akzent3" xfId="41" builtinId="40" customBuiltin="1"/>
    <cellStyle name="60 % - Akzent4" xfId="45" builtinId="44" customBuiltin="1"/>
    <cellStyle name="60 % - Akzent5" xfId="49" builtinId="48" customBuiltin="1"/>
    <cellStyle name="60 % - Akzent6" xfId="53" builtinId="52" customBuiltin="1"/>
    <cellStyle name="Akzent1" xfId="30" builtinId="29" customBuiltin="1"/>
    <cellStyle name="Akzent2" xfId="34" builtinId="33" customBuiltin="1"/>
    <cellStyle name="Akzent3" xfId="38" builtinId="37" customBuiltin="1"/>
    <cellStyle name="Akzent4" xfId="42" builtinId="41" customBuiltin="1"/>
    <cellStyle name="Akzent5" xfId="46" builtinId="45" customBuiltin="1"/>
    <cellStyle name="Akzent6" xfId="50" builtinId="49" customBuiltin="1"/>
    <cellStyle name="Aufgabe" xfId="12" xr:uid="{6391D789-272B-4DD2-9BF3-2CDCF610FA41}"/>
    <cellStyle name="Ausgabe" xfId="22" builtinId="21" customBuiltin="1"/>
    <cellStyle name="Berechnung" xfId="23" builtinId="22" customBuiltin="1"/>
    <cellStyle name="Besuchter Hyperlink" xfId="13" builtinId="9" customBuiltin="1"/>
    <cellStyle name="Datum" xfId="10" xr:uid="{229918B6-DD13-4F5A-97B9-305F7E002AA3}"/>
    <cellStyle name="Dezimal [0]" xfId="14" builtinId="6" customBuiltin="1"/>
    <cellStyle name="Eingabe" xfId="21" builtinId="20" customBuiltin="1"/>
    <cellStyle name="Ergebnis" xfId="29" builtinId="25" customBuiltin="1"/>
    <cellStyle name="Erklärender Text" xfId="28" builtinId="53" customBuiltin="1"/>
    <cellStyle name="Gut" xfId="18" builtinId="26" customBuiltin="1"/>
    <cellStyle name="Komma" xfId="4" builtinId="3" customBuiltin="1"/>
    <cellStyle name="Link" xfId="1" builtinId="8" customBuiltin="1"/>
    <cellStyle name="Name" xfId="11" xr:uid="{B2D3C1EE-6B41-4801-AAFC-C2274E49E503}"/>
    <cellStyle name="Neutral" xfId="20" builtinId="28" customBuiltin="1"/>
    <cellStyle name="Notiz" xfId="27" builtinId="10" customBuiltin="1"/>
    <cellStyle name="Projektanfang" xfId="9" xr:uid="{8EB8A09A-C31C-40A3-B2C1-9449520178B8}"/>
    <cellStyle name="Prozent" xfId="2" builtinId="5" customBuiltin="1"/>
    <cellStyle name="Schlecht" xfId="19" builtinId="27" customBuiltin="1"/>
    <cellStyle name="Standard" xfId="0" builtinId="0" customBuiltin="1"/>
    <cellStyle name="Überschrift" xfId="5" builtinId="15" customBuiltin="1"/>
    <cellStyle name="Überschrift 1" xfId="6" builtinId="16" customBuiltin="1"/>
    <cellStyle name="Überschrift 2" xfId="7" builtinId="17" customBuiltin="1"/>
    <cellStyle name="Überschrift 3" xfId="8" builtinId="18" customBuiltin="1"/>
    <cellStyle name="Überschrift 4" xfId="17" builtinId="19" customBuiltin="1"/>
    <cellStyle name="Verknüpfte Zelle" xfId="24" builtinId="24" customBuiltin="1"/>
    <cellStyle name="Währung" xfId="15" builtinId="4" customBuiltin="1"/>
    <cellStyle name="Währung [0]" xfId="16" builtinId="7" customBuiltin="1"/>
    <cellStyle name="Warnender Text" xfId="26" builtinId="11" customBuiltin="1"/>
    <cellStyle name="zAusgeblText" xfId="3" xr:uid="{26E66EE6-E33F-4D77-BAE4-0FB4F5BBF673}"/>
    <cellStyle name="Zelle überprüfen" xfId="25" builtinId="23" customBuiltin="1"/>
  </cellStyles>
  <dxfs count="16">
    <dxf>
      <fill>
        <patternFill>
          <bgColor theme="8"/>
        </patternFill>
      </fill>
      <border>
        <left/>
        <right/>
      </border>
    </dxf>
    <dxf>
      <fill>
        <patternFill>
          <bgColor rgb="FFC00000"/>
        </patternFill>
      </fill>
      <border>
        <left/>
        <right/>
      </border>
    </dxf>
    <dxf>
      <fill>
        <patternFill>
          <bgColor theme="6"/>
        </patternFill>
      </fill>
      <border>
        <left/>
        <right/>
      </border>
    </dxf>
    <dxf>
      <fill>
        <patternFill>
          <bgColor theme="0" tint="-0.34998626667073579"/>
        </patternFill>
      </fill>
    </dxf>
    <dxf>
      <border>
        <left style="dashDot">
          <color rgb="FFFFC000"/>
        </left>
        <right style="dashDot">
          <color rgb="FFFFC000"/>
        </right>
        <vertical/>
        <horizontal/>
      </border>
    </dxf>
    <dxf>
      <border>
        <left style="dashDot">
          <color theme="9"/>
        </left>
        <right style="dashDot">
          <color theme="9"/>
        </right>
        <vertical/>
        <horizontal/>
      </border>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Aufgabenliste" pivot="0" count="9" xr9:uid="{00000000-0011-0000-FFFF-FFFF00000000}">
      <tableStyleElement type="wholeTable" dxfId="15"/>
      <tableStyleElement type="headerRow" dxfId="14"/>
      <tableStyleElement type="totalRow" dxfId="13"/>
      <tableStyleElement type="firstColumn" dxfId="12"/>
      <tableStyleElement type="lastColumn" dxfId="11"/>
      <tableStyleElement type="firstRowStripe" dxfId="10"/>
      <tableStyleElement type="secondRowStripe" dxfId="9"/>
      <tableStyleElement type="firstColumnStripe" dxfId="8"/>
      <tableStyleElement type="secondColumnStripe" dxfId="7"/>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89430"/>
      <color rgb="FFF26F1E"/>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ctrlProps/ctrlProp1.xml><?xml version="1.0" encoding="utf-8"?>
<formControlPr xmlns="http://schemas.microsoft.com/office/spreadsheetml/2009/9/main" objectType="CheckBox" fmlaLink="$A$14" lockText="1" noThreeD="1"/>
</file>

<file path=xl/ctrlProps/ctrlProp2.xml><?xml version="1.0" encoding="utf-8"?>
<formControlPr xmlns="http://schemas.microsoft.com/office/spreadsheetml/2009/9/main" objectType="CheckBox" fmlaLink="$A$15" lockText="1" noThreeD="1"/>
</file>

<file path=xl/ctrlProps/ctrlProp3.xml><?xml version="1.0" encoding="utf-8"?>
<formControlPr xmlns="http://schemas.microsoft.com/office/spreadsheetml/2009/9/main" objectType="CheckBox" fmlaLink="$A$16" lockText="1" noThreeD="1"/>
</file>

<file path=xl/ctrlProps/ctrlProp4.xml><?xml version="1.0" encoding="utf-8"?>
<formControlPr xmlns="http://schemas.microsoft.com/office/spreadsheetml/2009/9/main" objectType="CheckBox" fmlaLink="$A$19" lockText="1" noThreeD="1"/>
</file>

<file path=xl/ctrlProps/ctrlProp5.xml><?xml version="1.0" encoding="utf-8"?>
<formControlPr xmlns="http://schemas.microsoft.com/office/spreadsheetml/2009/9/main" objectType="CheckBox" fmlaLink="$A$20" lockText="1" noThreeD="1"/>
</file>

<file path=xl/ctrlProps/ctrlProp6.xml><?xml version="1.0" encoding="utf-8"?>
<formControlPr xmlns="http://schemas.microsoft.com/office/spreadsheetml/2009/9/main" objectType="CheckBox" fmlaLink="$A$21" lockText="1" noThreeD="1"/>
</file>

<file path=xl/ctrlProps/ctrlProp7.xml><?xml version="1.0" encoding="utf-8"?>
<formControlPr xmlns="http://schemas.microsoft.com/office/spreadsheetml/2009/9/main" objectType="CheckBox" fmlaLink="$A$23"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fmlaLink="$A$24" lockText="1" noThreeD="1"/>
</file>

<file path=xl/ctrlProps/ctrlProp10.xml><?xml version="1.0" encoding="utf-8"?>
<formControlPr xmlns="http://schemas.microsoft.com/office/spreadsheetml/2009/9/main" objectType="CheckBox" fmlaLink="$A$26" lockText="1" noThreeD="1"/>
</file>

<file path=xl/ctrlProps/ctrlProp11.xml><?xml version="1.0" encoding="utf-8"?>
<formControlPr xmlns="http://schemas.microsoft.com/office/spreadsheetml/2009/9/main" objectType="CheckBox" fmlaLink="$A$27" lockText="1" noThreeD="1"/>
</file>

<file path=xl/ctrlProps/ctrlProp12.xml><?xml version="1.0" encoding="utf-8"?>
<formControlPr xmlns="http://schemas.microsoft.com/office/spreadsheetml/2009/9/main" objectType="CheckBox" fmlaLink="$A$28" lockText="1" noThreeD="1"/>
</file>

<file path=xl/ctrlProps/ctrlProp13.xml><?xml version="1.0" encoding="utf-8"?>
<formControlPr xmlns="http://schemas.microsoft.com/office/spreadsheetml/2009/9/main" objectType="CheckBox" fmlaLink="$A$29" lockText="1" noThreeD="1"/>
</file>

<file path=xl/ctrlProps/ctrlProp14.xml><?xml version="1.0" encoding="utf-8"?>
<formControlPr xmlns="http://schemas.microsoft.com/office/spreadsheetml/2009/9/main" objectType="CheckBox" fmlaLink="$A$30" lockText="1" noThreeD="1"/>
</file>

<file path=xl/ctrlProps/ctrlProp15.xml><?xml version="1.0" encoding="utf-8"?>
<formControlPr xmlns="http://schemas.microsoft.com/office/spreadsheetml/2009/9/main" objectType="CheckBox" fmlaLink="$A$32" lockText="1" noThreeD="1"/>
</file>

<file path=xl/ctrlProps/ctrlProp16.xml><?xml version="1.0" encoding="utf-8"?>
<formControlPr xmlns="http://schemas.microsoft.com/office/spreadsheetml/2009/9/main" objectType="CheckBox" fmlaLink="$A$33"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fmlaLink="$A$17" lockText="1" noThreeD="1"/>
</file>

<file path=xl/ctrlProps/ctrlProp20.xml><?xml version="1.0" encoding="utf-8"?>
<formControlPr xmlns="http://schemas.microsoft.com/office/spreadsheetml/2009/9/main" objectType="CheckBox" fmlaLink="$A$3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76200</xdr:colOff>
          <xdr:row>12</xdr:row>
          <xdr:rowOff>371475</xdr:rowOff>
        </xdr:from>
        <xdr:to>
          <xdr:col>6</xdr:col>
          <xdr:colOff>323850</xdr:colOff>
          <xdr:row>14</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13</xdr:row>
          <xdr:rowOff>371475</xdr:rowOff>
        </xdr:from>
        <xdr:to>
          <xdr:col>6</xdr:col>
          <xdr:colOff>314325</xdr:colOff>
          <xdr:row>15</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14</xdr:row>
          <xdr:rowOff>371475</xdr:rowOff>
        </xdr:from>
        <xdr:to>
          <xdr:col>6</xdr:col>
          <xdr:colOff>314325</xdr:colOff>
          <xdr:row>16</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0</xdr:rowOff>
        </xdr:from>
        <xdr:to>
          <xdr:col>6</xdr:col>
          <xdr:colOff>314325</xdr:colOff>
          <xdr:row>23</xdr:row>
          <xdr:rowOff>9525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17</xdr:row>
          <xdr:rowOff>371475</xdr:rowOff>
        </xdr:from>
        <xdr:to>
          <xdr:col>6</xdr:col>
          <xdr:colOff>323850</xdr:colOff>
          <xdr:row>19</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18</xdr:row>
          <xdr:rowOff>361950</xdr:rowOff>
        </xdr:from>
        <xdr:to>
          <xdr:col>6</xdr:col>
          <xdr:colOff>314325</xdr:colOff>
          <xdr:row>19</xdr:row>
          <xdr:rowOff>371475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19</xdr:row>
          <xdr:rowOff>371475</xdr:rowOff>
        </xdr:from>
        <xdr:to>
          <xdr:col>6</xdr:col>
          <xdr:colOff>314325</xdr:colOff>
          <xdr:row>21</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21</xdr:row>
          <xdr:rowOff>9525</xdr:rowOff>
        </xdr:from>
        <xdr:to>
          <xdr:col>6</xdr:col>
          <xdr:colOff>323850</xdr:colOff>
          <xdr:row>22</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0</xdr:rowOff>
        </xdr:from>
        <xdr:to>
          <xdr:col>6</xdr:col>
          <xdr:colOff>314325</xdr:colOff>
          <xdr:row>24</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25</xdr:row>
          <xdr:rowOff>0</xdr:rowOff>
        </xdr:from>
        <xdr:to>
          <xdr:col>6</xdr:col>
          <xdr:colOff>314325</xdr:colOff>
          <xdr:row>26</xdr:row>
          <xdr:rowOff>9525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26</xdr:row>
          <xdr:rowOff>0</xdr:rowOff>
        </xdr:from>
        <xdr:to>
          <xdr:col>6</xdr:col>
          <xdr:colOff>314325</xdr:colOff>
          <xdr:row>27</xdr:row>
          <xdr:rowOff>9525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27</xdr:row>
          <xdr:rowOff>0</xdr:rowOff>
        </xdr:from>
        <xdr:to>
          <xdr:col>6</xdr:col>
          <xdr:colOff>314325</xdr:colOff>
          <xdr:row>28</xdr:row>
          <xdr:rowOff>9525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28</xdr:row>
          <xdr:rowOff>0</xdr:rowOff>
        </xdr:from>
        <xdr:to>
          <xdr:col>6</xdr:col>
          <xdr:colOff>314325</xdr:colOff>
          <xdr:row>29</xdr:row>
          <xdr:rowOff>9525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29</xdr:row>
          <xdr:rowOff>0</xdr:rowOff>
        </xdr:from>
        <xdr:to>
          <xdr:col>6</xdr:col>
          <xdr:colOff>314325</xdr:colOff>
          <xdr:row>30</xdr:row>
          <xdr:rowOff>9525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31</xdr:row>
          <xdr:rowOff>0</xdr:rowOff>
        </xdr:from>
        <xdr:to>
          <xdr:col>6</xdr:col>
          <xdr:colOff>314325</xdr:colOff>
          <xdr:row>32</xdr:row>
          <xdr:rowOff>9525</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32</xdr:row>
          <xdr:rowOff>0</xdr:rowOff>
        </xdr:from>
        <xdr:to>
          <xdr:col>6</xdr:col>
          <xdr:colOff>314325</xdr:colOff>
          <xdr:row>33</xdr:row>
          <xdr:rowOff>9525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85725</xdr:colOff>
          <xdr:row>8</xdr:row>
          <xdr:rowOff>28575</xdr:rowOff>
        </xdr:from>
        <xdr:to>
          <xdr:col>5</xdr:col>
          <xdr:colOff>428625</xdr:colOff>
          <xdr:row>8</xdr:row>
          <xdr:rowOff>323850</xdr:rowOff>
        </xdr:to>
        <xdr:sp macro="" textlink="">
          <xdr:nvSpPr>
            <xdr:cNvPr id="1046" name="&lt;"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&lt;</a:t>
              </a:r>
            </a:p>
            <a:p>
              <a:pPr algn="ctr" rtl="0">
                <a:defRPr sz="1000"/>
              </a:pPr>
              <a:endParaRPr lang="de-DE"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647700</xdr:colOff>
          <xdr:row>8</xdr:row>
          <xdr:rowOff>28575</xdr:rowOff>
        </xdr:from>
        <xdr:to>
          <xdr:col>5</xdr:col>
          <xdr:colOff>990600</xdr:colOff>
          <xdr:row>8</xdr:row>
          <xdr:rowOff>323850</xdr:rowOff>
        </xdr:to>
        <xdr:sp macro="" textlink="">
          <xdr:nvSpPr>
            <xdr:cNvPr id="1047" name="&lt;"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&gt;</a:t>
              </a:r>
            </a:p>
            <a:p>
              <a:pPr algn="ctr" rtl="0">
                <a:defRPr sz="1000"/>
              </a:pPr>
              <a:endParaRPr lang="de-DE" sz="1100" b="0" i="0" u="none" strike="noStrike" baseline="0">
                <a:solidFill>
                  <a:srgbClr val="000000"/>
                </a:solidFill>
                <a:latin typeface="Calibri"/>
                <a:cs typeface="Calibri"/>
              </a:endParaRPr>
            </a:p>
            <a:p>
              <a:pPr algn="ctr" rtl="0">
                <a:defRPr sz="1000"/>
              </a:pPr>
              <a:endParaRPr lang="de-DE"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16</xdr:row>
          <xdr:rowOff>0</xdr:rowOff>
        </xdr:from>
        <xdr:to>
          <xdr:col>6</xdr:col>
          <xdr:colOff>314325</xdr:colOff>
          <xdr:row>17</xdr:row>
          <xdr:rowOff>9525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33</xdr:row>
          <xdr:rowOff>0</xdr:rowOff>
        </xdr:from>
        <xdr:to>
          <xdr:col>6</xdr:col>
          <xdr:colOff>314325</xdr:colOff>
          <xdr:row>34</xdr:row>
          <xdr:rowOff>9525</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N38"/>
  <sheetViews>
    <sheetView showGridLines="0" tabSelected="1" showRuler="0" topLeftCell="A8" zoomScaleNormal="100" zoomScalePageLayoutView="70" workbookViewId="0">
      <selection activeCell="CN36" sqref="CN36"/>
    </sheetView>
  </sheetViews>
  <sheetFormatPr baseColWidth="10" defaultColWidth="9.140625" defaultRowHeight="30" customHeight="1" x14ac:dyDescent="0.25"/>
  <cols>
    <col min="1" max="1" width="3.7109375" style="27" customWidth="1"/>
    <col min="2" max="2" width="24.85546875" customWidth="1"/>
    <col min="3" max="3" width="19" customWidth="1"/>
    <col min="4" max="4" width="18.28515625" customWidth="1"/>
    <col min="5" max="5" width="14.5703125" style="5" customWidth="1"/>
    <col min="6" max="6" width="16.5703125" customWidth="1"/>
    <col min="7" max="7" width="5.42578125" customWidth="1"/>
    <col min="8" max="8" width="6.140625" hidden="1" customWidth="1"/>
    <col min="9" max="50" width="2.5703125" customWidth="1"/>
    <col min="51" max="56" width="2.7109375" customWidth="1"/>
    <col min="57" max="92" width="2.5703125" customWidth="1"/>
  </cols>
  <sheetData>
    <row r="1" spans="1:92" ht="30" customHeight="1" x14ac:dyDescent="0.45">
      <c r="A1" s="93" t="s">
        <v>0</v>
      </c>
      <c r="B1" s="30" t="s">
        <v>12</v>
      </c>
      <c r="C1" s="1"/>
      <c r="D1" s="2"/>
      <c r="E1" s="4"/>
      <c r="F1" s="26"/>
      <c r="H1" s="2"/>
      <c r="I1" s="44"/>
      <c r="AC1" s="95"/>
    </row>
    <row r="2" spans="1:92" ht="20.25" customHeight="1" x14ac:dyDescent="0.35">
      <c r="A2" s="94" t="s">
        <v>1</v>
      </c>
      <c r="B2" s="77" t="s">
        <v>13</v>
      </c>
      <c r="AB2" s="78"/>
      <c r="AC2" s="96"/>
    </row>
    <row r="3" spans="1:92" ht="52.5" customHeight="1" x14ac:dyDescent="0.3">
      <c r="A3" s="85" t="s">
        <v>25</v>
      </c>
      <c r="B3" s="65" t="s">
        <v>11</v>
      </c>
      <c r="C3" s="65" t="s">
        <v>14</v>
      </c>
      <c r="D3" s="84" t="s">
        <v>16</v>
      </c>
      <c r="E3" s="83" t="s">
        <v>51</v>
      </c>
      <c r="F3" s="76" t="s">
        <v>17</v>
      </c>
      <c r="G3" s="109" t="s">
        <v>20</v>
      </c>
      <c r="H3" s="109"/>
      <c r="I3" s="109"/>
      <c r="J3" s="109"/>
      <c r="K3" s="109"/>
      <c r="L3" s="109"/>
      <c r="M3" s="109"/>
      <c r="N3" s="109"/>
      <c r="O3" s="109"/>
      <c r="P3" s="109" t="s">
        <v>21</v>
      </c>
      <c r="Q3" s="109"/>
      <c r="R3" s="109"/>
      <c r="S3" s="109"/>
      <c r="T3" s="109"/>
      <c r="U3" s="109"/>
      <c r="V3" s="109"/>
      <c r="W3" s="109" t="s">
        <v>27</v>
      </c>
      <c r="X3" s="109"/>
      <c r="Y3" s="109"/>
      <c r="Z3" s="109"/>
      <c r="AA3" s="109"/>
      <c r="AB3" s="109"/>
      <c r="AC3" s="110"/>
    </row>
    <row r="4" spans="1:92" s="62" customFormat="1" ht="21" customHeight="1" x14ac:dyDescent="0.25">
      <c r="A4" s="68">
        <v>1</v>
      </c>
      <c r="B4" s="71" t="s">
        <v>10</v>
      </c>
      <c r="C4" s="75" t="s">
        <v>15</v>
      </c>
      <c r="D4" s="63">
        <v>0.5</v>
      </c>
      <c r="E4" s="61">
        <v>4</v>
      </c>
      <c r="F4" s="61">
        <f>E4*D4</f>
        <v>2</v>
      </c>
      <c r="G4" s="111">
        <f ca="1">(F4+F5)*D6</f>
        <v>-16.559999999999999</v>
      </c>
      <c r="H4" s="111"/>
      <c r="I4" s="111"/>
      <c r="J4" s="111"/>
      <c r="K4" s="111"/>
      <c r="L4" s="111"/>
      <c r="M4" s="111"/>
      <c r="N4" s="111"/>
      <c r="O4" s="111"/>
      <c r="P4" s="111">
        <f ca="1">(F4+F5)*D7</f>
        <v>3.44</v>
      </c>
      <c r="Q4" s="111"/>
      <c r="R4" s="111"/>
      <c r="S4" s="111"/>
      <c r="T4" s="111"/>
      <c r="U4" s="111"/>
      <c r="V4" s="111"/>
      <c r="W4" s="111">
        <f ca="1">(E4+E5)*D7</f>
        <v>6.88</v>
      </c>
      <c r="X4" s="111"/>
      <c r="Y4" s="111"/>
      <c r="Z4" s="111"/>
      <c r="AA4" s="111"/>
      <c r="AB4" s="111"/>
      <c r="AC4" s="114"/>
    </row>
    <row r="5" spans="1:92" s="62" customFormat="1" ht="21" customHeight="1" x14ac:dyDescent="0.25">
      <c r="A5" s="69">
        <v>2</v>
      </c>
      <c r="B5" s="72" t="s">
        <v>9</v>
      </c>
      <c r="C5" s="73" t="s">
        <v>15</v>
      </c>
      <c r="D5" s="63">
        <v>0.5</v>
      </c>
      <c r="E5" s="74">
        <v>4</v>
      </c>
      <c r="F5" s="74">
        <f>E5*D5</f>
        <v>2</v>
      </c>
      <c r="G5" s="111"/>
      <c r="H5" s="112"/>
      <c r="I5" s="111"/>
      <c r="J5" s="111"/>
      <c r="K5" s="111"/>
      <c r="L5" s="111"/>
      <c r="M5" s="111"/>
      <c r="N5" s="111"/>
      <c r="O5" s="111"/>
      <c r="P5" s="113"/>
      <c r="Q5" s="113"/>
      <c r="R5" s="113"/>
      <c r="S5" s="113"/>
      <c r="T5" s="113"/>
      <c r="U5" s="113"/>
      <c r="V5" s="113"/>
      <c r="W5" s="113"/>
      <c r="X5" s="113"/>
      <c r="Y5" s="113"/>
      <c r="Z5" s="113"/>
      <c r="AA5" s="113"/>
      <c r="AB5" s="113"/>
      <c r="AC5" s="115"/>
    </row>
    <row r="6" spans="1:92" ht="30.75" customHeight="1" x14ac:dyDescent="0.3">
      <c r="A6" s="67"/>
      <c r="B6" s="64" t="s">
        <v>18</v>
      </c>
      <c r="D6" s="81">
        <f ca="1">ROUND((E6-TODAY())/7,2)</f>
        <v>-4.1399999999999997</v>
      </c>
      <c r="E6" s="102">
        <v>45429</v>
      </c>
      <c r="F6" s="103"/>
      <c r="G6" s="70"/>
      <c r="I6" s="70"/>
      <c r="J6" s="70"/>
      <c r="K6" s="70"/>
      <c r="L6" s="70"/>
      <c r="M6" s="70"/>
      <c r="N6" s="70"/>
      <c r="O6" s="70"/>
    </row>
    <row r="7" spans="1:92" s="3" customFormat="1" ht="30" customHeight="1" x14ac:dyDescent="0.3">
      <c r="A7" s="66"/>
      <c r="B7" s="65" t="s">
        <v>19</v>
      </c>
      <c r="C7" s="92"/>
      <c r="D7" s="81">
        <f ca="1">ROUND((E7-TODAY())/7,2)</f>
        <v>0.86</v>
      </c>
      <c r="E7" s="104">
        <v>45464</v>
      </c>
      <c r="F7" s="105"/>
    </row>
    <row r="8" spans="1:92" s="3" customFormat="1" ht="30" customHeight="1" x14ac:dyDescent="0.3">
      <c r="A8" s="27"/>
      <c r="B8" s="98">
        <v>45383</v>
      </c>
      <c r="C8" s="106" t="s">
        <v>4</v>
      </c>
      <c r="D8" s="107"/>
      <c r="E8" s="108">
        <v>45386</v>
      </c>
      <c r="F8" s="10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row>
    <row r="9" spans="1:92" s="3" customFormat="1" ht="30" customHeight="1" x14ac:dyDescent="0.3">
      <c r="A9" s="27"/>
      <c r="B9"/>
      <c r="C9" s="106" t="s">
        <v>5</v>
      </c>
      <c r="D9" s="107"/>
      <c r="E9" s="6">
        <v>1</v>
      </c>
      <c r="F9" s="87"/>
      <c r="G9"/>
      <c r="H9"/>
      <c r="I9" s="99">
        <f>I10</f>
        <v>45383</v>
      </c>
      <c r="J9" s="100"/>
      <c r="K9" s="100"/>
      <c r="L9" s="100"/>
      <c r="M9" s="100"/>
      <c r="N9" s="100"/>
      <c r="O9" s="101"/>
      <c r="P9" s="99">
        <f>P10</f>
        <v>45390</v>
      </c>
      <c r="Q9" s="100"/>
      <c r="R9" s="100"/>
      <c r="S9" s="100"/>
      <c r="T9" s="100"/>
      <c r="U9" s="100"/>
      <c r="V9" s="101"/>
      <c r="W9" s="99">
        <f>W10</f>
        <v>45397</v>
      </c>
      <c r="X9" s="100"/>
      <c r="Y9" s="100"/>
      <c r="Z9" s="100"/>
      <c r="AA9" s="100"/>
      <c r="AB9" s="100"/>
      <c r="AC9" s="101"/>
      <c r="AD9" s="99">
        <f>AD10</f>
        <v>45404</v>
      </c>
      <c r="AE9" s="100"/>
      <c r="AF9" s="100"/>
      <c r="AG9" s="100"/>
      <c r="AH9" s="100"/>
      <c r="AI9" s="100"/>
      <c r="AJ9" s="101"/>
      <c r="AK9" s="99">
        <f>AK10</f>
        <v>45411</v>
      </c>
      <c r="AL9" s="100"/>
      <c r="AM9" s="100"/>
      <c r="AN9" s="100"/>
      <c r="AO9" s="100"/>
      <c r="AP9" s="100"/>
      <c r="AQ9" s="101"/>
      <c r="AR9" s="99">
        <f>AR10</f>
        <v>45418</v>
      </c>
      <c r="AS9" s="100"/>
      <c r="AT9" s="100"/>
      <c r="AU9" s="100"/>
      <c r="AV9" s="100"/>
      <c r="AW9" s="100"/>
      <c r="AX9" s="101"/>
      <c r="AY9" s="99">
        <f>AY10</f>
        <v>45425</v>
      </c>
      <c r="AZ9" s="100"/>
      <c r="BA9" s="100"/>
      <c r="BB9" s="100"/>
      <c r="BC9" s="100"/>
      <c r="BD9" s="100"/>
      <c r="BE9" s="101"/>
      <c r="BF9" s="99">
        <f>BF10</f>
        <v>45432</v>
      </c>
      <c r="BG9" s="100"/>
      <c r="BH9" s="100"/>
      <c r="BI9" s="100"/>
      <c r="BJ9" s="100"/>
      <c r="BK9" s="100"/>
      <c r="BL9" s="101"/>
      <c r="BM9" s="99">
        <f>BM10</f>
        <v>45439</v>
      </c>
      <c r="BN9" s="100"/>
      <c r="BO9" s="100"/>
      <c r="BP9" s="100"/>
      <c r="BQ9" s="100"/>
      <c r="BR9" s="100"/>
      <c r="BS9" s="101"/>
      <c r="BT9" s="99">
        <f>BT10</f>
        <v>45446</v>
      </c>
      <c r="BU9" s="100"/>
      <c r="BV9" s="100"/>
      <c r="BW9" s="100"/>
      <c r="BX9" s="100"/>
      <c r="BY9" s="100"/>
      <c r="BZ9" s="101"/>
      <c r="CA9" s="99">
        <f>CA10</f>
        <v>45453</v>
      </c>
      <c r="CB9" s="100"/>
      <c r="CC9" s="100"/>
      <c r="CD9" s="100"/>
      <c r="CE9" s="100"/>
      <c r="CF9" s="100"/>
      <c r="CG9" s="101"/>
      <c r="CH9" s="99">
        <f>CH10</f>
        <v>45460</v>
      </c>
      <c r="CI9" s="100"/>
      <c r="CJ9" s="100"/>
      <c r="CK9" s="100"/>
      <c r="CL9" s="100"/>
      <c r="CM9" s="100"/>
      <c r="CN9" s="101"/>
    </row>
    <row r="10" spans="1:92" s="3" customFormat="1" ht="30" customHeight="1" x14ac:dyDescent="0.25">
      <c r="A10" s="27"/>
      <c r="B10" s="7" t="s">
        <v>24</v>
      </c>
      <c r="C10" s="8"/>
      <c r="D10" s="8" t="s">
        <v>30</v>
      </c>
      <c r="E10" s="8" t="s">
        <v>6</v>
      </c>
      <c r="F10" s="8" t="s">
        <v>7</v>
      </c>
      <c r="G10" s="8" t="s">
        <v>31</v>
      </c>
      <c r="H10"/>
      <c r="I10" s="58">
        <f>Projektanfang-WEEKDAY(Projektanfang,1)+2+7*(Anzeigewoche-1)</f>
        <v>45383</v>
      </c>
      <c r="J10" s="59">
        <f>I10+1</f>
        <v>45384</v>
      </c>
      <c r="K10" s="59">
        <f t="shared" ref="K10:AX10" si="0">J10+1</f>
        <v>45385</v>
      </c>
      <c r="L10" s="59">
        <f t="shared" si="0"/>
        <v>45386</v>
      </c>
      <c r="M10" s="59">
        <f t="shared" si="0"/>
        <v>45387</v>
      </c>
      <c r="N10" s="59">
        <f t="shared" si="0"/>
        <v>45388</v>
      </c>
      <c r="O10" s="60">
        <f t="shared" si="0"/>
        <v>45389</v>
      </c>
      <c r="P10" s="58">
        <f>O10+1</f>
        <v>45390</v>
      </c>
      <c r="Q10" s="59">
        <f>P10+1</f>
        <v>45391</v>
      </c>
      <c r="R10" s="59">
        <f t="shared" si="0"/>
        <v>45392</v>
      </c>
      <c r="S10" s="59">
        <f t="shared" si="0"/>
        <v>45393</v>
      </c>
      <c r="T10" s="59">
        <f t="shared" si="0"/>
        <v>45394</v>
      </c>
      <c r="U10" s="59">
        <f t="shared" si="0"/>
        <v>45395</v>
      </c>
      <c r="V10" s="60">
        <f t="shared" si="0"/>
        <v>45396</v>
      </c>
      <c r="W10" s="58">
        <f>V10+1</f>
        <v>45397</v>
      </c>
      <c r="X10" s="59">
        <f>W10+1</f>
        <v>45398</v>
      </c>
      <c r="Y10" s="59">
        <f t="shared" si="0"/>
        <v>45399</v>
      </c>
      <c r="Z10" s="59">
        <f t="shared" si="0"/>
        <v>45400</v>
      </c>
      <c r="AA10" s="59">
        <f t="shared" si="0"/>
        <v>45401</v>
      </c>
      <c r="AB10" s="59">
        <f t="shared" si="0"/>
        <v>45402</v>
      </c>
      <c r="AC10" s="60">
        <f t="shared" si="0"/>
        <v>45403</v>
      </c>
      <c r="AD10" s="58">
        <f>AC10+1</f>
        <v>45404</v>
      </c>
      <c r="AE10" s="59">
        <f>AD10+1</f>
        <v>45405</v>
      </c>
      <c r="AF10" s="59">
        <f t="shared" si="0"/>
        <v>45406</v>
      </c>
      <c r="AG10" s="59">
        <f t="shared" si="0"/>
        <v>45407</v>
      </c>
      <c r="AH10" s="59">
        <f t="shared" si="0"/>
        <v>45408</v>
      </c>
      <c r="AI10" s="59">
        <f t="shared" si="0"/>
        <v>45409</v>
      </c>
      <c r="AJ10" s="60">
        <f t="shared" si="0"/>
        <v>45410</v>
      </c>
      <c r="AK10" s="58">
        <f>AJ10+1</f>
        <v>45411</v>
      </c>
      <c r="AL10" s="59">
        <f>AK10+1</f>
        <v>45412</v>
      </c>
      <c r="AM10" s="59">
        <f t="shared" si="0"/>
        <v>45413</v>
      </c>
      <c r="AN10" s="59">
        <f t="shared" si="0"/>
        <v>45414</v>
      </c>
      <c r="AO10" s="59">
        <f t="shared" si="0"/>
        <v>45415</v>
      </c>
      <c r="AP10" s="59">
        <f t="shared" si="0"/>
        <v>45416</v>
      </c>
      <c r="AQ10" s="60">
        <f t="shared" si="0"/>
        <v>45417</v>
      </c>
      <c r="AR10" s="58">
        <f>AQ10+1</f>
        <v>45418</v>
      </c>
      <c r="AS10" s="59">
        <f>AR10+1</f>
        <v>45419</v>
      </c>
      <c r="AT10" s="59">
        <f t="shared" si="0"/>
        <v>45420</v>
      </c>
      <c r="AU10" s="59">
        <f t="shared" si="0"/>
        <v>45421</v>
      </c>
      <c r="AV10" s="59">
        <f t="shared" si="0"/>
        <v>45422</v>
      </c>
      <c r="AW10" s="59">
        <f t="shared" si="0"/>
        <v>45423</v>
      </c>
      <c r="AX10" s="60">
        <f t="shared" si="0"/>
        <v>45424</v>
      </c>
      <c r="AY10" s="58">
        <f t="shared" ref="AY10:BL10" si="1">AX10+1</f>
        <v>45425</v>
      </c>
      <c r="AZ10" s="59">
        <f t="shared" si="1"/>
        <v>45426</v>
      </c>
      <c r="BA10" s="59">
        <f t="shared" si="1"/>
        <v>45427</v>
      </c>
      <c r="BB10" s="59">
        <f t="shared" si="1"/>
        <v>45428</v>
      </c>
      <c r="BC10" s="59">
        <f t="shared" si="1"/>
        <v>45429</v>
      </c>
      <c r="BD10" s="59">
        <f t="shared" si="1"/>
        <v>45430</v>
      </c>
      <c r="BE10" s="60">
        <f t="shared" si="1"/>
        <v>45431</v>
      </c>
      <c r="BF10" s="58">
        <f t="shared" si="1"/>
        <v>45432</v>
      </c>
      <c r="BG10" s="59">
        <f t="shared" si="1"/>
        <v>45433</v>
      </c>
      <c r="BH10" s="59">
        <f t="shared" si="1"/>
        <v>45434</v>
      </c>
      <c r="BI10" s="59">
        <f t="shared" si="1"/>
        <v>45435</v>
      </c>
      <c r="BJ10" s="59">
        <f t="shared" si="1"/>
        <v>45436</v>
      </c>
      <c r="BK10" s="59">
        <f t="shared" si="1"/>
        <v>45437</v>
      </c>
      <c r="BL10" s="59">
        <f t="shared" si="1"/>
        <v>45438</v>
      </c>
      <c r="BM10" s="58">
        <f t="shared" ref="BM10" si="2">BL10+1</f>
        <v>45439</v>
      </c>
      <c r="BN10" s="59">
        <f t="shared" ref="BN10" si="3">BM10+1</f>
        <v>45440</v>
      </c>
      <c r="BO10" s="59">
        <f t="shared" ref="BO10" si="4">BN10+1</f>
        <v>45441</v>
      </c>
      <c r="BP10" s="59">
        <f t="shared" ref="BP10" si="5">BO10+1</f>
        <v>45442</v>
      </c>
      <c r="BQ10" s="59">
        <f t="shared" ref="BQ10" si="6">BP10+1</f>
        <v>45443</v>
      </c>
      <c r="BR10" s="59">
        <f t="shared" ref="BR10" si="7">BQ10+1</f>
        <v>45444</v>
      </c>
      <c r="BS10" s="59">
        <f t="shared" ref="BS10" si="8">BR10+1</f>
        <v>45445</v>
      </c>
      <c r="BT10" s="58">
        <f t="shared" ref="BT10" si="9">BS10+1</f>
        <v>45446</v>
      </c>
      <c r="BU10" s="59">
        <f t="shared" ref="BU10" si="10">BT10+1</f>
        <v>45447</v>
      </c>
      <c r="BV10" s="59">
        <f t="shared" ref="BV10" si="11">BU10+1</f>
        <v>45448</v>
      </c>
      <c r="BW10" s="59">
        <f t="shared" ref="BW10" si="12">BV10+1</f>
        <v>45449</v>
      </c>
      <c r="BX10" s="59">
        <f t="shared" ref="BX10" si="13">BW10+1</f>
        <v>45450</v>
      </c>
      <c r="BY10" s="59">
        <f t="shared" ref="BY10" si="14">BX10+1</f>
        <v>45451</v>
      </c>
      <c r="BZ10" s="59">
        <f t="shared" ref="BZ10" si="15">BY10+1</f>
        <v>45452</v>
      </c>
      <c r="CA10" s="58">
        <f t="shared" ref="CA10" si="16">BZ10+1</f>
        <v>45453</v>
      </c>
      <c r="CB10" s="59">
        <f t="shared" ref="CB10" si="17">CA10+1</f>
        <v>45454</v>
      </c>
      <c r="CC10" s="59">
        <f t="shared" ref="CC10" si="18">CB10+1</f>
        <v>45455</v>
      </c>
      <c r="CD10" s="59">
        <f t="shared" ref="CD10" si="19">CC10+1</f>
        <v>45456</v>
      </c>
      <c r="CE10" s="59">
        <f t="shared" ref="CE10" si="20">CD10+1</f>
        <v>45457</v>
      </c>
      <c r="CF10" s="59">
        <f t="shared" ref="CF10" si="21">CE10+1</f>
        <v>45458</v>
      </c>
      <c r="CG10" s="59">
        <f t="shared" ref="CG10" si="22">CF10+1</f>
        <v>45459</v>
      </c>
      <c r="CH10" s="58">
        <f t="shared" ref="CH10" si="23">CG10+1</f>
        <v>45460</v>
      </c>
      <c r="CI10" s="59">
        <f t="shared" ref="CI10" si="24">CH10+1</f>
        <v>45461</v>
      </c>
      <c r="CJ10" s="59">
        <f t="shared" ref="CJ10" si="25">CI10+1</f>
        <v>45462</v>
      </c>
      <c r="CK10" s="59">
        <f t="shared" ref="CK10" si="26">CJ10+1</f>
        <v>45463</v>
      </c>
      <c r="CL10" s="59">
        <f t="shared" ref="CL10" si="27">CK10+1</f>
        <v>45464</v>
      </c>
      <c r="CM10" s="59">
        <f t="shared" ref="CM10" si="28">CL10+1</f>
        <v>45465</v>
      </c>
      <c r="CN10" s="59">
        <f t="shared" ref="CN10" si="29">CM10+1</f>
        <v>45466</v>
      </c>
    </row>
    <row r="11" spans="1:92" s="3" customFormat="1" ht="29.25" customHeight="1" thickBot="1" x14ac:dyDescent="0.3">
      <c r="A11" s="28" t="s">
        <v>2</v>
      </c>
      <c r="B11" s="7"/>
      <c r="C11" s="7"/>
      <c r="D11" s="7"/>
      <c r="E11" s="7"/>
      <c r="F11" s="7"/>
      <c r="G11" s="7"/>
      <c r="H11" s="8" t="s">
        <v>8</v>
      </c>
      <c r="I11" s="9" t="str">
        <f t="shared" ref="I11:AN11" si="30">LEFT(TEXT(I10,"TTT"),1)</f>
        <v>M</v>
      </c>
      <c r="J11" s="9" t="str">
        <f t="shared" si="30"/>
        <v>D</v>
      </c>
      <c r="K11" s="9" t="str">
        <f t="shared" si="30"/>
        <v>M</v>
      </c>
      <c r="L11" s="9" t="str">
        <f t="shared" si="30"/>
        <v>D</v>
      </c>
      <c r="M11" s="9" t="str">
        <f t="shared" si="30"/>
        <v>F</v>
      </c>
      <c r="N11" s="9" t="str">
        <f t="shared" si="30"/>
        <v>S</v>
      </c>
      <c r="O11" s="9" t="str">
        <f t="shared" si="30"/>
        <v>S</v>
      </c>
      <c r="P11" s="9" t="str">
        <f t="shared" si="30"/>
        <v>M</v>
      </c>
      <c r="Q11" s="9" t="str">
        <f t="shared" si="30"/>
        <v>D</v>
      </c>
      <c r="R11" s="9" t="str">
        <f t="shared" si="30"/>
        <v>M</v>
      </c>
      <c r="S11" s="9" t="str">
        <f t="shared" si="30"/>
        <v>D</v>
      </c>
      <c r="T11" s="9" t="str">
        <f t="shared" si="30"/>
        <v>F</v>
      </c>
      <c r="U11" s="9" t="str">
        <f t="shared" si="30"/>
        <v>S</v>
      </c>
      <c r="V11" s="9" t="str">
        <f t="shared" si="30"/>
        <v>S</v>
      </c>
      <c r="W11" s="9" t="str">
        <f t="shared" si="30"/>
        <v>M</v>
      </c>
      <c r="X11" s="9" t="str">
        <f t="shared" si="30"/>
        <v>D</v>
      </c>
      <c r="Y11" s="9" t="str">
        <f t="shared" si="30"/>
        <v>M</v>
      </c>
      <c r="Z11" s="9" t="str">
        <f t="shared" si="30"/>
        <v>D</v>
      </c>
      <c r="AA11" s="9" t="str">
        <f t="shared" si="30"/>
        <v>F</v>
      </c>
      <c r="AB11" s="9" t="str">
        <f t="shared" si="30"/>
        <v>S</v>
      </c>
      <c r="AC11" s="9" t="str">
        <f t="shared" si="30"/>
        <v>S</v>
      </c>
      <c r="AD11" s="9" t="str">
        <f t="shared" si="30"/>
        <v>M</v>
      </c>
      <c r="AE11" s="9" t="str">
        <f t="shared" si="30"/>
        <v>D</v>
      </c>
      <c r="AF11" s="9" t="str">
        <f t="shared" si="30"/>
        <v>M</v>
      </c>
      <c r="AG11" s="9" t="str">
        <f t="shared" si="30"/>
        <v>D</v>
      </c>
      <c r="AH11" s="9" t="str">
        <f t="shared" si="30"/>
        <v>F</v>
      </c>
      <c r="AI11" s="9" t="str">
        <f t="shared" si="30"/>
        <v>S</v>
      </c>
      <c r="AJ11" s="9" t="str">
        <f t="shared" si="30"/>
        <v>S</v>
      </c>
      <c r="AK11" s="9" t="str">
        <f t="shared" si="30"/>
        <v>M</v>
      </c>
      <c r="AL11" s="9" t="str">
        <f t="shared" si="30"/>
        <v>D</v>
      </c>
      <c r="AM11" s="9" t="str">
        <f t="shared" si="30"/>
        <v>M</v>
      </c>
      <c r="AN11" s="9" t="str">
        <f t="shared" si="30"/>
        <v>D</v>
      </c>
      <c r="AO11" s="9" t="str">
        <f t="shared" ref="AO11:BK11" si="31">LEFT(TEXT(AO10,"TTT"),1)</f>
        <v>F</v>
      </c>
      <c r="AP11" s="9" t="str">
        <f t="shared" si="31"/>
        <v>S</v>
      </c>
      <c r="AQ11" s="9" t="str">
        <f t="shared" si="31"/>
        <v>S</v>
      </c>
      <c r="AR11" s="9" t="str">
        <f t="shared" si="31"/>
        <v>M</v>
      </c>
      <c r="AS11" s="9" t="str">
        <f t="shared" si="31"/>
        <v>D</v>
      </c>
      <c r="AT11" s="9" t="str">
        <f t="shared" si="31"/>
        <v>M</v>
      </c>
      <c r="AU11" s="9" t="str">
        <f t="shared" si="31"/>
        <v>D</v>
      </c>
      <c r="AV11" s="9" t="str">
        <f t="shared" si="31"/>
        <v>F</v>
      </c>
      <c r="AW11" s="9" t="str">
        <f t="shared" si="31"/>
        <v>S</v>
      </c>
      <c r="AX11" s="9" t="str">
        <f t="shared" si="31"/>
        <v>S</v>
      </c>
      <c r="AY11" s="9" t="str">
        <f t="shared" si="31"/>
        <v>M</v>
      </c>
      <c r="AZ11" s="9" t="str">
        <f t="shared" si="31"/>
        <v>D</v>
      </c>
      <c r="BA11" s="9" t="str">
        <f t="shared" si="31"/>
        <v>M</v>
      </c>
      <c r="BB11" s="9" t="str">
        <f t="shared" si="31"/>
        <v>D</v>
      </c>
      <c r="BC11" s="9" t="str">
        <f t="shared" si="31"/>
        <v>F</v>
      </c>
      <c r="BD11" s="9" t="str">
        <f t="shared" si="31"/>
        <v>S</v>
      </c>
      <c r="BE11" s="9" t="str">
        <f t="shared" si="31"/>
        <v>S</v>
      </c>
      <c r="BF11" s="9" t="str">
        <f t="shared" si="31"/>
        <v>M</v>
      </c>
      <c r="BG11" s="9" t="str">
        <f t="shared" si="31"/>
        <v>D</v>
      </c>
      <c r="BH11" s="9" t="str">
        <f t="shared" si="31"/>
        <v>M</v>
      </c>
      <c r="BI11" s="9" t="str">
        <f t="shared" si="31"/>
        <v>D</v>
      </c>
      <c r="BJ11" s="9" t="str">
        <f t="shared" si="31"/>
        <v>F</v>
      </c>
      <c r="BK11" s="9" t="str">
        <f t="shared" si="31"/>
        <v>S</v>
      </c>
      <c r="BL11" s="9" t="str">
        <f t="shared" ref="BL11:BR11" si="32">LEFT(TEXT(BL10,"TTT"),1)</f>
        <v>S</v>
      </c>
      <c r="BM11" s="9" t="str">
        <f t="shared" si="32"/>
        <v>M</v>
      </c>
      <c r="BN11" s="9" t="str">
        <f t="shared" si="32"/>
        <v>D</v>
      </c>
      <c r="BO11" s="9" t="str">
        <f t="shared" si="32"/>
        <v>M</v>
      </c>
      <c r="BP11" s="9" t="str">
        <f t="shared" si="32"/>
        <v>D</v>
      </c>
      <c r="BQ11" s="9" t="str">
        <f t="shared" si="32"/>
        <v>F</v>
      </c>
      <c r="BR11" s="9" t="str">
        <f t="shared" si="32"/>
        <v>S</v>
      </c>
      <c r="BS11" s="9" t="str">
        <f t="shared" ref="BS11:CF11" si="33">LEFT(TEXT(BS10,"TTT"),1)</f>
        <v>S</v>
      </c>
      <c r="BT11" s="9" t="str">
        <f t="shared" si="33"/>
        <v>M</v>
      </c>
      <c r="BU11" s="9" t="str">
        <f t="shared" si="33"/>
        <v>D</v>
      </c>
      <c r="BV11" s="9" t="str">
        <f t="shared" si="33"/>
        <v>M</v>
      </c>
      <c r="BW11" s="9" t="str">
        <f t="shared" si="33"/>
        <v>D</v>
      </c>
      <c r="BX11" s="9" t="str">
        <f t="shared" si="33"/>
        <v>F</v>
      </c>
      <c r="BY11" s="9" t="str">
        <f t="shared" si="33"/>
        <v>S</v>
      </c>
      <c r="BZ11" s="9" t="str">
        <f t="shared" si="33"/>
        <v>S</v>
      </c>
      <c r="CA11" s="9" t="str">
        <f t="shared" si="33"/>
        <v>M</v>
      </c>
      <c r="CB11" s="9" t="str">
        <f t="shared" si="33"/>
        <v>D</v>
      </c>
      <c r="CC11" s="9" t="str">
        <f t="shared" si="33"/>
        <v>M</v>
      </c>
      <c r="CD11" s="9" t="str">
        <f t="shared" si="33"/>
        <v>D</v>
      </c>
      <c r="CE11" s="9" t="str">
        <f t="shared" si="33"/>
        <v>F</v>
      </c>
      <c r="CF11" s="9" t="str">
        <f t="shared" si="33"/>
        <v>S</v>
      </c>
      <c r="CG11" s="9" t="str">
        <f t="shared" ref="CG11:CM11" si="34">LEFT(TEXT(CG10,"TTT"),1)</f>
        <v>S</v>
      </c>
      <c r="CH11" s="9" t="str">
        <f t="shared" si="34"/>
        <v>M</v>
      </c>
      <c r="CI11" s="9" t="str">
        <f t="shared" si="34"/>
        <v>D</v>
      </c>
      <c r="CJ11" s="9" t="str">
        <f t="shared" si="34"/>
        <v>M</v>
      </c>
      <c r="CK11" s="9" t="str">
        <f t="shared" si="34"/>
        <v>D</v>
      </c>
      <c r="CL11" s="9" t="str">
        <f t="shared" si="34"/>
        <v>F</v>
      </c>
      <c r="CM11" s="9" t="str">
        <f t="shared" si="34"/>
        <v>S</v>
      </c>
      <c r="CN11" s="9" t="str">
        <f t="shared" ref="CN11" si="35">LEFT(TEXT(CN10,"TTT"),1)</f>
        <v>S</v>
      </c>
    </row>
    <row r="12" spans="1:92" s="3" customFormat="1" ht="1.5" customHeight="1" thickBot="1" x14ac:dyDescent="0.3">
      <c r="A12" s="28"/>
      <c r="B12"/>
      <c r="C12" s="29"/>
      <c r="D12"/>
      <c r="E12">
        <v>1</v>
      </c>
      <c r="F12"/>
      <c r="G12"/>
      <c r="H12" t="str">
        <f>IF(OR(ISBLANK(task_start),ISBLANK(task_duration)),"",task_duration-task_start+1)</f>
        <v/>
      </c>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row>
    <row r="13" spans="1:92" s="3" customFormat="1" ht="30" customHeight="1" thickBot="1" x14ac:dyDescent="0.3">
      <c r="A13" s="27"/>
      <c r="B13" s="11" t="s">
        <v>26</v>
      </c>
      <c r="C13" s="31"/>
      <c r="D13" s="79"/>
      <c r="E13" s="79"/>
      <c r="F13" s="79"/>
      <c r="G13" s="79"/>
      <c r="H13" s="10" t="str">
        <f t="shared" ref="H13:H37" si="36">IF(OR(ISBLANK(task_start),ISBLANK(task_duration)),"",task_duration-task_start+1)</f>
        <v/>
      </c>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row>
    <row r="14" spans="1:92" s="3" customFormat="1" ht="30" customHeight="1" thickBot="1" x14ac:dyDescent="0.3">
      <c r="A14" s="82" t="b">
        <v>0</v>
      </c>
      <c r="B14" s="40" t="s">
        <v>22</v>
      </c>
      <c r="C14" s="32"/>
      <c r="D14" s="32">
        <v>4</v>
      </c>
      <c r="E14" s="45">
        <f>Projektanfang</f>
        <v>45386</v>
      </c>
      <c r="F14" s="80" cm="1">
        <f t="array" ref="F14">E14+ROUND((D14/h_per_week)*7,0)-1</f>
        <v>45392</v>
      </c>
      <c r="G14" s="32"/>
      <c r="H14" s="10">
        <f t="shared" si="36"/>
        <v>-45381</v>
      </c>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row>
    <row r="15" spans="1:92" s="3" customFormat="1" ht="30" customHeight="1" thickBot="1" x14ac:dyDescent="0.3">
      <c r="A15" s="27" t="b">
        <v>0</v>
      </c>
      <c r="B15" s="40" t="s">
        <v>23</v>
      </c>
      <c r="C15" s="32"/>
      <c r="D15" s="32">
        <v>2</v>
      </c>
      <c r="E15" s="45">
        <f>F14+1</f>
        <v>45393</v>
      </c>
      <c r="F15" s="80" cm="1">
        <f t="array" ref="F15">E15+ROUND((D15/h_per_week)*7,0)-1</f>
        <v>45396</v>
      </c>
      <c r="G15" s="32"/>
      <c r="H15" s="10">
        <f t="shared" si="36"/>
        <v>-45390</v>
      </c>
      <c r="I15" s="23"/>
      <c r="J15" s="23"/>
      <c r="K15" s="23"/>
      <c r="L15" s="23"/>
      <c r="M15" s="23"/>
      <c r="N15" s="23"/>
      <c r="O15" s="23"/>
      <c r="P15" s="23"/>
      <c r="Q15" s="23"/>
      <c r="R15" s="23"/>
      <c r="S15" s="23"/>
      <c r="T15" s="23"/>
      <c r="U15" s="24"/>
      <c r="V15" s="24"/>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row>
    <row r="16" spans="1:92" s="3" customFormat="1" ht="30" customHeight="1" thickBot="1" x14ac:dyDescent="0.3">
      <c r="A16" s="27" t="b">
        <v>0</v>
      </c>
      <c r="B16" s="89" t="s">
        <v>47</v>
      </c>
      <c r="C16" s="32"/>
      <c r="D16" s="32">
        <v>4</v>
      </c>
      <c r="E16" s="45">
        <f>F27+1</f>
        <v>45437</v>
      </c>
      <c r="F16" s="80" cm="1">
        <f t="array" ref="F16">E16+ROUND((D16/h_per_week)*7,0)-1</f>
        <v>45443</v>
      </c>
      <c r="G16" s="32"/>
      <c r="H16" s="10">
        <f t="shared" si="36"/>
        <v>-45432</v>
      </c>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row>
    <row r="17" spans="1:92" s="3" customFormat="1" ht="30" customHeight="1" thickBot="1" x14ac:dyDescent="0.3">
      <c r="A17" s="27" t="b">
        <v>0</v>
      </c>
      <c r="B17" s="89" t="s">
        <v>45</v>
      </c>
      <c r="C17" s="32"/>
      <c r="D17" s="32">
        <v>4</v>
      </c>
      <c r="E17" s="45">
        <f>F28+1</f>
        <v>45466</v>
      </c>
      <c r="F17" s="80" cm="1">
        <f t="array" ref="F17">E17+ROUND((D17/h_per_week)*7,0)-1</f>
        <v>45472</v>
      </c>
      <c r="G17" s="32"/>
      <c r="H17" s="10"/>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row>
    <row r="18" spans="1:92" s="3" customFormat="1" ht="30" customHeight="1" thickBot="1" x14ac:dyDescent="0.3">
      <c r="A18" s="27" t="b">
        <v>0</v>
      </c>
      <c r="B18" s="12" t="s">
        <v>33</v>
      </c>
      <c r="C18" s="33"/>
      <c r="D18" s="13"/>
      <c r="E18" s="46"/>
      <c r="F18" s="47"/>
      <c r="G18" s="47"/>
      <c r="H18" s="10" t="str">
        <f t="shared" si="36"/>
        <v/>
      </c>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row>
    <row r="19" spans="1:92" s="3" customFormat="1" ht="30" customHeight="1" thickBot="1" x14ac:dyDescent="0.3">
      <c r="A19" s="27" t="b">
        <v>0</v>
      </c>
      <c r="B19" s="41" t="s">
        <v>29</v>
      </c>
      <c r="C19" s="34"/>
      <c r="D19" s="34">
        <v>3</v>
      </c>
      <c r="E19" s="48">
        <f>F14+1</f>
        <v>45393</v>
      </c>
      <c r="F19" s="48" cm="1">
        <f t="array" ref="F19">E19+ROUND((D19/h_per_week)*7,0)-1</f>
        <v>45397</v>
      </c>
      <c r="G19" s="34"/>
      <c r="H19" s="10">
        <f t="shared" si="36"/>
        <v>-45389</v>
      </c>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row>
    <row r="20" spans="1:92" s="3" customFormat="1" ht="30" customHeight="1" thickBot="1" x14ac:dyDescent="0.3">
      <c r="A20" s="27" t="b">
        <v>0</v>
      </c>
      <c r="B20" s="41" t="s">
        <v>28</v>
      </c>
      <c r="C20" s="34"/>
      <c r="D20" s="34">
        <v>2</v>
      </c>
      <c r="E20" s="48">
        <f>F19+1</f>
        <v>45398</v>
      </c>
      <c r="F20" s="48" cm="1">
        <f t="array" ref="F20">E20+ROUND((D20/h_per_week)*7,0)-1</f>
        <v>45401</v>
      </c>
      <c r="G20" s="34"/>
      <c r="H20" s="10">
        <f t="shared" si="36"/>
        <v>-45395</v>
      </c>
      <c r="I20" s="23"/>
      <c r="J20" s="23"/>
      <c r="K20" s="23"/>
      <c r="L20" s="23"/>
      <c r="M20" s="23"/>
      <c r="N20" s="23"/>
      <c r="O20" s="23"/>
      <c r="P20" s="23"/>
      <c r="Q20" s="23"/>
      <c r="R20" s="23"/>
      <c r="S20" s="23"/>
      <c r="T20" s="23"/>
      <c r="U20" s="24"/>
      <c r="V20" s="24"/>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row>
    <row r="21" spans="1:92" s="3" customFormat="1" ht="30" customHeight="1" thickBot="1" x14ac:dyDescent="0.3">
      <c r="A21" s="27" t="b">
        <v>0</v>
      </c>
      <c r="B21" s="41" t="s">
        <v>34</v>
      </c>
      <c r="C21" s="34"/>
      <c r="D21" s="34">
        <v>4</v>
      </c>
      <c r="E21" s="48">
        <f>F26+1</f>
        <v>45409</v>
      </c>
      <c r="F21" s="48" cm="1">
        <f t="array" ref="F21">E21+ROUND((D21/h_per_week)*7,0)-1</f>
        <v>45415</v>
      </c>
      <c r="G21" s="34"/>
      <c r="H21" s="10">
        <f t="shared" si="36"/>
        <v>-45404</v>
      </c>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row>
    <row r="22" spans="1:92" s="3" customFormat="1" ht="30" customHeight="1" thickBot="1" x14ac:dyDescent="0.3">
      <c r="A22" s="27" t="b">
        <v>0</v>
      </c>
      <c r="B22" s="41" t="s">
        <v>35</v>
      </c>
      <c r="C22" s="34"/>
      <c r="D22" s="34">
        <v>8</v>
      </c>
      <c r="E22" s="48">
        <f>F21+1</f>
        <v>45416</v>
      </c>
      <c r="F22" s="48" cm="1">
        <f t="array" ref="F22">E22+ROUND((D22/h_per_week)*7,0)-1</f>
        <v>45429</v>
      </c>
      <c r="G22" s="34"/>
      <c r="H22" s="10">
        <f t="shared" si="36"/>
        <v>-45407</v>
      </c>
      <c r="I22" s="23"/>
      <c r="J22" s="23"/>
      <c r="K22" s="23"/>
      <c r="L22" s="23"/>
      <c r="M22" s="23"/>
      <c r="N22" s="23"/>
      <c r="O22" s="23"/>
      <c r="P22" s="23"/>
      <c r="Q22" s="23"/>
      <c r="R22" s="23"/>
      <c r="S22" s="23"/>
      <c r="T22" s="23"/>
      <c r="U22" s="23"/>
      <c r="V22" s="23"/>
      <c r="W22" s="23"/>
      <c r="X22" s="23"/>
      <c r="Y22" s="24"/>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c r="CC22" s="23"/>
      <c r="CD22" s="23"/>
      <c r="CE22" s="23"/>
      <c r="CF22" s="23"/>
      <c r="CG22" s="23"/>
      <c r="CH22" s="23"/>
      <c r="CI22" s="23"/>
      <c r="CJ22" s="23"/>
      <c r="CK22" s="23"/>
      <c r="CL22" s="23"/>
      <c r="CM22" s="23"/>
      <c r="CN22" s="23"/>
    </row>
    <row r="23" spans="1:92" s="3" customFormat="1" ht="30" customHeight="1" thickBot="1" x14ac:dyDescent="0.3">
      <c r="A23" s="27" t="b">
        <v>0</v>
      </c>
      <c r="B23" s="90" t="s">
        <v>36</v>
      </c>
      <c r="C23" s="34"/>
      <c r="D23" s="34">
        <v>6</v>
      </c>
      <c r="E23" s="48">
        <f>F16+1</f>
        <v>45444</v>
      </c>
      <c r="F23" s="48" cm="1">
        <f t="array" ref="F23">E23+ROUND((D23/h_per_week)*7,0)-1</f>
        <v>45454</v>
      </c>
      <c r="G23" s="34"/>
      <c r="H23" s="10"/>
      <c r="I23" s="23"/>
      <c r="J23" s="23"/>
      <c r="K23" s="23"/>
      <c r="L23" s="23"/>
      <c r="M23" s="23"/>
      <c r="N23" s="23"/>
      <c r="O23" s="23"/>
      <c r="P23" s="23"/>
      <c r="Q23" s="23"/>
      <c r="R23" s="23"/>
      <c r="S23" s="23"/>
      <c r="T23" s="23"/>
      <c r="U23" s="23"/>
      <c r="V23" s="23"/>
      <c r="W23" s="23"/>
      <c r="X23" s="23"/>
      <c r="Y23" s="24"/>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row>
    <row r="24" spans="1:92" s="3" customFormat="1" ht="30" customHeight="1" thickBot="1" x14ac:dyDescent="0.3">
      <c r="A24" s="27" t="b">
        <v>0</v>
      </c>
      <c r="B24" s="90" t="s">
        <v>46</v>
      </c>
      <c r="C24" s="34"/>
      <c r="D24" s="34">
        <v>2</v>
      </c>
      <c r="E24" s="48">
        <f>F17+1</f>
        <v>45473</v>
      </c>
      <c r="F24" s="48" cm="1">
        <f t="array" ref="F24">E24+ROUND((D24/h_per_week)*7,0)-1</f>
        <v>45476</v>
      </c>
      <c r="G24" s="34"/>
      <c r="H24" s="10">
        <f t="shared" si="36"/>
        <v>-45470</v>
      </c>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row>
    <row r="25" spans="1:92" s="3" customFormat="1" ht="30" customHeight="1" thickBot="1" x14ac:dyDescent="0.3">
      <c r="A25" s="27" t="b">
        <v>0</v>
      </c>
      <c r="B25" s="14" t="s">
        <v>32</v>
      </c>
      <c r="C25" s="35"/>
      <c r="D25" s="15"/>
      <c r="E25" s="49"/>
      <c r="F25" s="50"/>
      <c r="G25" s="50"/>
      <c r="H25" s="10" t="str">
        <f t="shared" si="36"/>
        <v/>
      </c>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row>
    <row r="26" spans="1:92" s="3" customFormat="1" ht="30" customHeight="1" thickBot="1" x14ac:dyDescent="0.3">
      <c r="A26" s="27" t="b">
        <v>0</v>
      </c>
      <c r="B26" s="42" t="s">
        <v>49</v>
      </c>
      <c r="C26" s="36"/>
      <c r="D26" s="86">
        <v>4</v>
      </c>
      <c r="E26" s="51">
        <f>F20+1</f>
        <v>45402</v>
      </c>
      <c r="F26" s="51" cm="1">
        <f t="array" ref="F26">E26+ROUND((D26/h_per_week)*7,0)-1</f>
        <v>45408</v>
      </c>
      <c r="G26" s="36"/>
      <c r="H26" s="10">
        <f t="shared" si="36"/>
        <v>-45397</v>
      </c>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row>
    <row r="27" spans="1:92" s="3" customFormat="1" ht="30" customHeight="1" thickBot="1" x14ac:dyDescent="0.3">
      <c r="A27" s="27" t="b">
        <v>0</v>
      </c>
      <c r="B27" s="42" t="s">
        <v>39</v>
      </c>
      <c r="C27" s="36"/>
      <c r="D27" s="86">
        <v>4</v>
      </c>
      <c r="E27" s="51">
        <f>E6+1</f>
        <v>45430</v>
      </c>
      <c r="F27" s="51" cm="1">
        <f t="array" ref="F27">E27+ROUND((D27/h_per_week)*7,0)-1</f>
        <v>45436</v>
      </c>
      <c r="G27" s="36"/>
      <c r="H27" s="10">
        <f t="shared" si="36"/>
        <v>-45425</v>
      </c>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row>
    <row r="28" spans="1:92" s="3" customFormat="1" ht="30" customHeight="1" thickBot="1" x14ac:dyDescent="0.3">
      <c r="A28" s="27" t="b">
        <v>0</v>
      </c>
      <c r="B28" s="88" t="s">
        <v>43</v>
      </c>
      <c r="C28" s="36"/>
      <c r="D28" s="86">
        <v>4</v>
      </c>
      <c r="E28" s="51">
        <f>F29+1</f>
        <v>45459</v>
      </c>
      <c r="F28" s="51" cm="1">
        <f t="array" ref="F28">E28+ROUND((D28/h_per_week)*7,0)-1</f>
        <v>45465</v>
      </c>
      <c r="G28" s="36"/>
      <c r="H28" s="10">
        <f t="shared" si="36"/>
        <v>-45454</v>
      </c>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row>
    <row r="29" spans="1:92" s="3" customFormat="1" ht="30" customHeight="1" thickBot="1" x14ac:dyDescent="0.3">
      <c r="A29" s="27" t="b">
        <v>0</v>
      </c>
      <c r="B29" s="88" t="s">
        <v>40</v>
      </c>
      <c r="C29" s="36"/>
      <c r="D29" s="86">
        <v>2</v>
      </c>
      <c r="E29" s="51">
        <f>F23+1</f>
        <v>45455</v>
      </c>
      <c r="F29" s="51" cm="1">
        <f t="array" ref="F29">E29+ROUND((D29/h_per_week)*7,0)-1</f>
        <v>45458</v>
      </c>
      <c r="G29" s="36"/>
      <c r="H29" s="10">
        <f t="shared" si="36"/>
        <v>-45452</v>
      </c>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row>
    <row r="30" spans="1:92" s="3" customFormat="1" ht="30" customHeight="1" thickBot="1" x14ac:dyDescent="0.3">
      <c r="A30" s="27" t="b">
        <v>0</v>
      </c>
      <c r="B30" s="88" t="s">
        <v>44</v>
      </c>
      <c r="C30" s="36"/>
      <c r="D30" s="86">
        <v>6</v>
      </c>
      <c r="E30" s="51">
        <f>F24+1</f>
        <v>45477</v>
      </c>
      <c r="F30" s="51" cm="1">
        <f t="array" ref="F30">E30+ROUND((D30/h_per_week)*7,0)-1</f>
        <v>45487</v>
      </c>
      <c r="G30" s="36"/>
      <c r="H30" s="10">
        <f t="shared" si="36"/>
        <v>-45470</v>
      </c>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row>
    <row r="31" spans="1:92" ht="30" customHeight="1" thickBot="1" x14ac:dyDescent="0.3">
      <c r="A31" s="27" t="b">
        <v>0</v>
      </c>
      <c r="B31" s="16" t="s">
        <v>37</v>
      </c>
      <c r="C31" s="37"/>
      <c r="D31" s="17"/>
      <c r="E31" s="52"/>
      <c r="F31" s="53"/>
      <c r="G31" s="53"/>
      <c r="H31" s="10" t="str">
        <f t="shared" si="36"/>
        <v/>
      </c>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row>
    <row r="32" spans="1:92" ht="30" customHeight="1" thickBot="1" x14ac:dyDescent="0.3">
      <c r="A32" s="27" t="b">
        <v>0</v>
      </c>
      <c r="B32" s="43" t="s">
        <v>38</v>
      </c>
      <c r="C32" s="38"/>
      <c r="D32" s="18"/>
      <c r="E32" s="54">
        <f>Projektanfang</f>
        <v>45386</v>
      </c>
      <c r="F32" s="54">
        <f>E7</f>
        <v>45464</v>
      </c>
      <c r="G32" s="18"/>
      <c r="H32" s="10" t="str">
        <f t="shared" si="36"/>
        <v/>
      </c>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row>
    <row r="33" spans="1:92" ht="30" customHeight="1" thickBot="1" x14ac:dyDescent="0.3">
      <c r="A33" s="27" t="b">
        <v>0</v>
      </c>
      <c r="B33" s="43" t="s">
        <v>41</v>
      </c>
      <c r="C33" s="38"/>
      <c r="D33" s="18"/>
      <c r="E33" s="54">
        <f>F33-7</f>
        <v>45422</v>
      </c>
      <c r="F33" s="54">
        <f>E6</f>
        <v>45429</v>
      </c>
      <c r="G33" s="18"/>
      <c r="H33" s="10"/>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row>
    <row r="34" spans="1:92" ht="30" customHeight="1" thickBot="1" x14ac:dyDescent="0.3">
      <c r="A34" s="27" t="b">
        <v>0</v>
      </c>
      <c r="B34" s="43" t="s">
        <v>42</v>
      </c>
      <c r="C34" s="38"/>
      <c r="D34" s="18"/>
      <c r="E34" s="54">
        <f>F34-7</f>
        <v>45457</v>
      </c>
      <c r="F34" s="54">
        <f>E7</f>
        <v>45464</v>
      </c>
      <c r="G34" s="18"/>
      <c r="H34" s="10"/>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row>
    <row r="35" spans="1:92" ht="30" customHeight="1" thickBot="1" x14ac:dyDescent="0.3">
      <c r="B35" s="43" t="s">
        <v>42</v>
      </c>
      <c r="C35" s="38"/>
      <c r="D35" s="18"/>
      <c r="E35" s="54"/>
      <c r="F35" s="54"/>
      <c r="G35" s="18"/>
      <c r="H35" s="10"/>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row>
    <row r="36" spans="1:92" ht="30" customHeight="1" thickBot="1" x14ac:dyDescent="0.3">
      <c r="B36" s="97" t="s">
        <v>50</v>
      </c>
      <c r="C36" s="39"/>
      <c r="D36" s="91">
        <f ca="1">SUM(D14:D34)/P4</f>
        <v>17.151162790697676</v>
      </c>
      <c r="E36" s="55"/>
      <c r="F36" s="55"/>
      <c r="G36" s="10"/>
      <c r="H36" s="10" t="str">
        <f t="shared" ca="1" si="36"/>
        <v/>
      </c>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row>
    <row r="37" spans="1:92" ht="30" customHeight="1" thickBot="1" x14ac:dyDescent="0.3">
      <c r="B37" s="19" t="s">
        <v>3</v>
      </c>
      <c r="C37" s="20"/>
      <c r="D37" s="21"/>
      <c r="E37" s="56"/>
      <c r="F37" s="57"/>
      <c r="G37" s="22"/>
      <c r="H37" s="22" t="str">
        <f t="shared" si="36"/>
        <v/>
      </c>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row>
    <row r="38" spans="1:92" ht="30" customHeight="1" x14ac:dyDescent="0.25">
      <c r="B38" t="s">
        <v>48</v>
      </c>
    </row>
  </sheetData>
  <mergeCells count="23">
    <mergeCell ref="W3:AC3"/>
    <mergeCell ref="G4:O5"/>
    <mergeCell ref="P4:V5"/>
    <mergeCell ref="W4:AC5"/>
    <mergeCell ref="G3:O3"/>
    <mergeCell ref="P3:V3"/>
    <mergeCell ref="C8:D8"/>
    <mergeCell ref="C9:D9"/>
    <mergeCell ref="AK9:AQ9"/>
    <mergeCell ref="AR9:AX9"/>
    <mergeCell ref="AY9:BE9"/>
    <mergeCell ref="E8:F8"/>
    <mergeCell ref="I9:O9"/>
    <mergeCell ref="P9:V9"/>
    <mergeCell ref="W9:AC9"/>
    <mergeCell ref="AD9:AJ9"/>
    <mergeCell ref="BM9:BS9"/>
    <mergeCell ref="BT9:BZ9"/>
    <mergeCell ref="CA9:CG9"/>
    <mergeCell ref="CH9:CN9"/>
    <mergeCell ref="E6:F6"/>
    <mergeCell ref="E7:F7"/>
    <mergeCell ref="BF9:BL9"/>
  </mergeCells>
  <conditionalFormatting sqref="D18 D12 D25 D31:D35 D37">
    <cfRule type="dataBar" priority="41">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G32:G35">
    <cfRule type="dataBar" priority="5">
      <dataBar>
        <cfvo type="num" val="0"/>
        <cfvo type="num" val="1"/>
        <color theme="0" tint="-0.249977111117893"/>
      </dataBar>
      <extLst>
        <ext xmlns:x14="http://schemas.microsoft.com/office/spreadsheetml/2009/9/main" uri="{B025F937-C7B1-47D3-B67F-A62EFF666E3E}">
          <x14:id>{157D7A9D-FA4F-4069-80DF-DC1D3E2F6BD0}</x14:id>
        </ext>
      </extLst>
    </cfRule>
  </conditionalFormatting>
  <conditionalFormatting sqref="I10:CN37">
    <cfRule type="expression" dxfId="6" priority="49">
      <formula>AND($B$8&gt;=I$10,$B$8&lt;J$10)</formula>
    </cfRule>
    <cfRule type="expression" dxfId="5" priority="50">
      <formula>AND($E$7&gt;=I$10,$E$7&lt;J$10)</formula>
    </cfRule>
    <cfRule type="expression" dxfId="4" priority="51">
      <formula>AND($E$6&gt;=I$10,$E$6&lt;J$10)</formula>
    </cfRule>
  </conditionalFormatting>
  <conditionalFormatting sqref="I12:CN37">
    <cfRule type="expression" dxfId="3" priority="47" stopIfTrue="1">
      <formula>AND(task_start&lt;=I$10,ROUNDDOWN((task_duration-task_start+1)*task_progress,0)+task_start-1&gt;=I$10)</formula>
    </cfRule>
  </conditionalFormatting>
  <conditionalFormatting sqref="I13:CN37">
    <cfRule type="expression" dxfId="2" priority="19">
      <formula>AND(task_end&gt;=I$10,task_start&lt;J$10,$A13)</formula>
    </cfRule>
    <cfRule type="expression" dxfId="1" priority="39">
      <formula>AND(task_end&gt;=I$10,task_start&lt;J$10,NOT($A13),$B$8&gt;task_end)</formula>
    </cfRule>
    <cfRule type="expression" dxfId="0" priority="48">
      <formula>AND(task_end&gt;=I$10,task_start&lt;J$10)</formula>
    </cfRule>
  </conditionalFormatting>
  <dataValidations count="1">
    <dataValidation type="whole" operator="greaterThanOrEqual" allowBlank="1" showInputMessage="1" promptTitle="Woche anzeigen" prompt="Das Ändern dieser Zahl bewirkt ein Scrollen in der Gantt-Diagrammansicht." sqref="E9" xr:uid="{00000000-0002-0000-0000-000000000000}">
      <formula1>1</formula1>
    </dataValidation>
  </dataValidations>
  <printOptions horizontalCentered="1"/>
  <pageMargins left="0.35" right="0.35" top="0.35" bottom="0.5" header="0.3" footer="0.3"/>
  <pageSetup paperSize="9" scale="60" fitToHeight="0" orientation="landscape" r:id="rId1"/>
  <headerFooter differentFirst="1" scaleWithDoc="0">
    <oddFooter>Page &amp;P of &amp;N</oddFooter>
  </headerFooter>
  <ignoredErrors>
    <ignoredError sqref="E2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6</xdr:col>
                    <xdr:colOff>76200</xdr:colOff>
                    <xdr:row>12</xdr:row>
                    <xdr:rowOff>371475</xdr:rowOff>
                  </from>
                  <to>
                    <xdr:col>6</xdr:col>
                    <xdr:colOff>323850</xdr:colOff>
                    <xdr:row>14</xdr:row>
                    <xdr:rowOff>0</xdr:rowOff>
                  </to>
                </anchor>
              </controlPr>
            </control>
          </mc:Choice>
        </mc:AlternateContent>
        <mc:AlternateContent xmlns:mc="http://schemas.openxmlformats.org/markup-compatibility/2006">
          <mc:Choice Requires="x14">
            <control shapeId="1031" r:id="rId5" name="Check Box 7">
              <controlPr defaultSize="0" autoFill="0" autoLine="0" autoPict="0">
                <anchor moveWithCells="1">
                  <from>
                    <xdr:col>6</xdr:col>
                    <xdr:colOff>66675</xdr:colOff>
                    <xdr:row>13</xdr:row>
                    <xdr:rowOff>371475</xdr:rowOff>
                  </from>
                  <to>
                    <xdr:col>6</xdr:col>
                    <xdr:colOff>314325</xdr:colOff>
                    <xdr:row>15</xdr:row>
                    <xdr:rowOff>0</xdr:rowOff>
                  </to>
                </anchor>
              </controlPr>
            </control>
          </mc:Choice>
        </mc:AlternateContent>
        <mc:AlternateContent xmlns:mc="http://schemas.openxmlformats.org/markup-compatibility/2006">
          <mc:Choice Requires="x14">
            <control shapeId="1032" r:id="rId6" name="Check Box 8">
              <controlPr defaultSize="0" autoFill="0" autoLine="0" autoPict="0">
                <anchor moveWithCells="1">
                  <from>
                    <xdr:col>6</xdr:col>
                    <xdr:colOff>66675</xdr:colOff>
                    <xdr:row>14</xdr:row>
                    <xdr:rowOff>371475</xdr:rowOff>
                  </from>
                  <to>
                    <xdr:col>6</xdr:col>
                    <xdr:colOff>314325</xdr:colOff>
                    <xdr:row>16</xdr:row>
                    <xdr:rowOff>0</xdr:rowOff>
                  </to>
                </anchor>
              </controlPr>
            </control>
          </mc:Choice>
        </mc:AlternateContent>
        <mc:AlternateContent xmlns:mc="http://schemas.openxmlformats.org/markup-compatibility/2006">
          <mc:Choice Requires="x14">
            <control shapeId="1034" r:id="rId7" name="Check Box 10">
              <controlPr defaultSize="0" autoFill="0" autoLine="0" autoPict="0">
                <anchor moveWithCells="1">
                  <from>
                    <xdr:col>6</xdr:col>
                    <xdr:colOff>76200</xdr:colOff>
                    <xdr:row>17</xdr:row>
                    <xdr:rowOff>371475</xdr:rowOff>
                  </from>
                  <to>
                    <xdr:col>6</xdr:col>
                    <xdr:colOff>323850</xdr:colOff>
                    <xdr:row>19</xdr:row>
                    <xdr:rowOff>0</xdr:rowOff>
                  </to>
                </anchor>
              </controlPr>
            </control>
          </mc:Choice>
        </mc:AlternateContent>
        <mc:AlternateContent xmlns:mc="http://schemas.openxmlformats.org/markup-compatibility/2006">
          <mc:Choice Requires="x14">
            <control shapeId="1035" r:id="rId8" name="Check Box 11">
              <controlPr defaultSize="0" autoFill="0" autoLine="0" autoPict="0">
                <anchor moveWithCells="1">
                  <from>
                    <xdr:col>6</xdr:col>
                    <xdr:colOff>66675</xdr:colOff>
                    <xdr:row>18</xdr:row>
                    <xdr:rowOff>361950</xdr:rowOff>
                  </from>
                  <to>
                    <xdr:col>6</xdr:col>
                    <xdr:colOff>314325</xdr:colOff>
                    <xdr:row>19</xdr:row>
                    <xdr:rowOff>371475</xdr:rowOff>
                  </to>
                </anchor>
              </controlPr>
            </control>
          </mc:Choice>
        </mc:AlternateContent>
        <mc:AlternateContent xmlns:mc="http://schemas.openxmlformats.org/markup-compatibility/2006">
          <mc:Choice Requires="x14">
            <control shapeId="1036" r:id="rId9" name="Check Box 12">
              <controlPr defaultSize="0" autoFill="0" autoLine="0" autoPict="0">
                <anchor moveWithCells="1">
                  <from>
                    <xdr:col>6</xdr:col>
                    <xdr:colOff>66675</xdr:colOff>
                    <xdr:row>19</xdr:row>
                    <xdr:rowOff>371475</xdr:rowOff>
                  </from>
                  <to>
                    <xdr:col>6</xdr:col>
                    <xdr:colOff>314325</xdr:colOff>
                    <xdr:row>21</xdr:row>
                    <xdr:rowOff>0</xdr:rowOff>
                  </to>
                </anchor>
              </controlPr>
            </control>
          </mc:Choice>
        </mc:AlternateContent>
        <mc:AlternateContent xmlns:mc="http://schemas.openxmlformats.org/markup-compatibility/2006">
          <mc:Choice Requires="x14">
            <control shapeId="1033" r:id="rId10" name="Check Box 9">
              <controlPr defaultSize="0" autoFill="0" autoLine="0" autoPict="0">
                <anchor moveWithCells="1">
                  <from>
                    <xdr:col>6</xdr:col>
                    <xdr:colOff>66675</xdr:colOff>
                    <xdr:row>22</xdr:row>
                    <xdr:rowOff>0</xdr:rowOff>
                  </from>
                  <to>
                    <xdr:col>6</xdr:col>
                    <xdr:colOff>314325</xdr:colOff>
                    <xdr:row>23</xdr:row>
                    <xdr:rowOff>9525</xdr:rowOff>
                  </to>
                </anchor>
              </controlPr>
            </control>
          </mc:Choice>
        </mc:AlternateContent>
        <mc:AlternateContent xmlns:mc="http://schemas.openxmlformats.org/markup-compatibility/2006">
          <mc:Choice Requires="x14">
            <control shapeId="1037" r:id="rId11" name="Check Box 13">
              <controlPr defaultSize="0" autoFill="0" autoLine="0" autoPict="0">
                <anchor moveWithCells="1">
                  <from>
                    <xdr:col>6</xdr:col>
                    <xdr:colOff>76200</xdr:colOff>
                    <xdr:row>21</xdr:row>
                    <xdr:rowOff>9525</xdr:rowOff>
                  </from>
                  <to>
                    <xdr:col>6</xdr:col>
                    <xdr:colOff>323850</xdr:colOff>
                    <xdr:row>22</xdr:row>
                    <xdr:rowOff>19050</xdr:rowOff>
                  </to>
                </anchor>
              </controlPr>
            </control>
          </mc:Choice>
        </mc:AlternateContent>
        <mc:AlternateContent xmlns:mc="http://schemas.openxmlformats.org/markup-compatibility/2006">
          <mc:Choice Requires="x14">
            <control shapeId="1038" r:id="rId12" name="Check Box 14">
              <controlPr defaultSize="0" autoFill="0" autoLine="0" autoPict="0">
                <anchor moveWithCells="1">
                  <from>
                    <xdr:col>6</xdr:col>
                    <xdr:colOff>66675</xdr:colOff>
                    <xdr:row>23</xdr:row>
                    <xdr:rowOff>0</xdr:rowOff>
                  </from>
                  <to>
                    <xdr:col>6</xdr:col>
                    <xdr:colOff>314325</xdr:colOff>
                    <xdr:row>24</xdr:row>
                    <xdr:rowOff>9525</xdr:rowOff>
                  </to>
                </anchor>
              </controlPr>
            </control>
          </mc:Choice>
        </mc:AlternateContent>
        <mc:AlternateContent xmlns:mc="http://schemas.openxmlformats.org/markup-compatibility/2006">
          <mc:Choice Requires="x14">
            <control shapeId="1039" r:id="rId13" name="Check Box 15">
              <controlPr defaultSize="0" autoFill="0" autoLine="0" autoPict="0">
                <anchor moveWithCells="1">
                  <from>
                    <xdr:col>6</xdr:col>
                    <xdr:colOff>66675</xdr:colOff>
                    <xdr:row>25</xdr:row>
                    <xdr:rowOff>0</xdr:rowOff>
                  </from>
                  <to>
                    <xdr:col>6</xdr:col>
                    <xdr:colOff>314325</xdr:colOff>
                    <xdr:row>26</xdr:row>
                    <xdr:rowOff>9525</xdr:rowOff>
                  </to>
                </anchor>
              </controlPr>
            </control>
          </mc:Choice>
        </mc:AlternateContent>
        <mc:AlternateContent xmlns:mc="http://schemas.openxmlformats.org/markup-compatibility/2006">
          <mc:Choice Requires="x14">
            <control shapeId="1040" r:id="rId14" name="Check Box 16">
              <controlPr defaultSize="0" autoFill="0" autoLine="0" autoPict="0">
                <anchor moveWithCells="1">
                  <from>
                    <xdr:col>6</xdr:col>
                    <xdr:colOff>66675</xdr:colOff>
                    <xdr:row>26</xdr:row>
                    <xdr:rowOff>0</xdr:rowOff>
                  </from>
                  <to>
                    <xdr:col>6</xdr:col>
                    <xdr:colOff>314325</xdr:colOff>
                    <xdr:row>27</xdr:row>
                    <xdr:rowOff>9525</xdr:rowOff>
                  </to>
                </anchor>
              </controlPr>
            </control>
          </mc:Choice>
        </mc:AlternateContent>
        <mc:AlternateContent xmlns:mc="http://schemas.openxmlformats.org/markup-compatibility/2006">
          <mc:Choice Requires="x14">
            <control shapeId="1041" r:id="rId15" name="Check Box 17">
              <controlPr defaultSize="0" autoFill="0" autoLine="0" autoPict="0">
                <anchor moveWithCells="1">
                  <from>
                    <xdr:col>6</xdr:col>
                    <xdr:colOff>66675</xdr:colOff>
                    <xdr:row>27</xdr:row>
                    <xdr:rowOff>0</xdr:rowOff>
                  </from>
                  <to>
                    <xdr:col>6</xdr:col>
                    <xdr:colOff>314325</xdr:colOff>
                    <xdr:row>28</xdr:row>
                    <xdr:rowOff>9525</xdr:rowOff>
                  </to>
                </anchor>
              </controlPr>
            </control>
          </mc:Choice>
        </mc:AlternateContent>
        <mc:AlternateContent xmlns:mc="http://schemas.openxmlformats.org/markup-compatibility/2006">
          <mc:Choice Requires="x14">
            <control shapeId="1042" r:id="rId16" name="Check Box 18">
              <controlPr defaultSize="0" autoFill="0" autoLine="0" autoPict="0">
                <anchor moveWithCells="1">
                  <from>
                    <xdr:col>6</xdr:col>
                    <xdr:colOff>66675</xdr:colOff>
                    <xdr:row>28</xdr:row>
                    <xdr:rowOff>0</xdr:rowOff>
                  </from>
                  <to>
                    <xdr:col>6</xdr:col>
                    <xdr:colOff>314325</xdr:colOff>
                    <xdr:row>29</xdr:row>
                    <xdr:rowOff>9525</xdr:rowOff>
                  </to>
                </anchor>
              </controlPr>
            </control>
          </mc:Choice>
        </mc:AlternateContent>
        <mc:AlternateContent xmlns:mc="http://schemas.openxmlformats.org/markup-compatibility/2006">
          <mc:Choice Requires="x14">
            <control shapeId="1043" r:id="rId17" name="Check Box 19">
              <controlPr defaultSize="0" autoFill="0" autoLine="0" autoPict="0">
                <anchor moveWithCells="1">
                  <from>
                    <xdr:col>6</xdr:col>
                    <xdr:colOff>66675</xdr:colOff>
                    <xdr:row>29</xdr:row>
                    <xdr:rowOff>0</xdr:rowOff>
                  </from>
                  <to>
                    <xdr:col>6</xdr:col>
                    <xdr:colOff>314325</xdr:colOff>
                    <xdr:row>30</xdr:row>
                    <xdr:rowOff>9525</xdr:rowOff>
                  </to>
                </anchor>
              </controlPr>
            </control>
          </mc:Choice>
        </mc:AlternateContent>
        <mc:AlternateContent xmlns:mc="http://schemas.openxmlformats.org/markup-compatibility/2006">
          <mc:Choice Requires="x14">
            <control shapeId="1044" r:id="rId18" name="Check Box 20">
              <controlPr defaultSize="0" autoFill="0" autoLine="0" autoPict="0">
                <anchor moveWithCells="1">
                  <from>
                    <xdr:col>6</xdr:col>
                    <xdr:colOff>66675</xdr:colOff>
                    <xdr:row>31</xdr:row>
                    <xdr:rowOff>0</xdr:rowOff>
                  </from>
                  <to>
                    <xdr:col>6</xdr:col>
                    <xdr:colOff>314325</xdr:colOff>
                    <xdr:row>32</xdr:row>
                    <xdr:rowOff>9525</xdr:rowOff>
                  </to>
                </anchor>
              </controlPr>
            </control>
          </mc:Choice>
        </mc:AlternateContent>
        <mc:AlternateContent xmlns:mc="http://schemas.openxmlformats.org/markup-compatibility/2006">
          <mc:Choice Requires="x14">
            <control shapeId="1045" r:id="rId19" name="Check Box 21">
              <controlPr defaultSize="0" autoFill="0" autoLine="0" autoPict="0">
                <anchor moveWithCells="1">
                  <from>
                    <xdr:col>6</xdr:col>
                    <xdr:colOff>66675</xdr:colOff>
                    <xdr:row>32</xdr:row>
                    <xdr:rowOff>0</xdr:rowOff>
                  </from>
                  <to>
                    <xdr:col>6</xdr:col>
                    <xdr:colOff>314325</xdr:colOff>
                    <xdr:row>33</xdr:row>
                    <xdr:rowOff>9525</xdr:rowOff>
                  </to>
                </anchor>
              </controlPr>
            </control>
          </mc:Choice>
        </mc:AlternateContent>
        <mc:AlternateContent xmlns:mc="http://schemas.openxmlformats.org/markup-compatibility/2006">
          <mc:Choice Requires="x14">
            <control shapeId="1046" r:id="rId20" name="&lt;">
              <controlPr defaultSize="0" print="0" autoFill="0" autoPict="0" macro="[0]!Modul1.Left">
                <anchor moveWithCells="1" sizeWithCells="1">
                  <from>
                    <xdr:col>5</xdr:col>
                    <xdr:colOff>85725</xdr:colOff>
                    <xdr:row>8</xdr:row>
                    <xdr:rowOff>28575</xdr:rowOff>
                  </from>
                  <to>
                    <xdr:col>5</xdr:col>
                    <xdr:colOff>428625</xdr:colOff>
                    <xdr:row>8</xdr:row>
                    <xdr:rowOff>323850</xdr:rowOff>
                  </to>
                </anchor>
              </controlPr>
            </control>
          </mc:Choice>
        </mc:AlternateContent>
        <mc:AlternateContent xmlns:mc="http://schemas.openxmlformats.org/markup-compatibility/2006">
          <mc:Choice Requires="x14">
            <control shapeId="1047" r:id="rId21" name="Button 23">
              <controlPr defaultSize="0" print="0" autoFill="0" autoPict="0" macro="[0]!Modul1.Right">
                <anchor moveWithCells="1" sizeWithCells="1">
                  <from>
                    <xdr:col>5</xdr:col>
                    <xdr:colOff>647700</xdr:colOff>
                    <xdr:row>8</xdr:row>
                    <xdr:rowOff>28575</xdr:rowOff>
                  </from>
                  <to>
                    <xdr:col>5</xdr:col>
                    <xdr:colOff>990600</xdr:colOff>
                    <xdr:row>8</xdr:row>
                    <xdr:rowOff>323850</xdr:rowOff>
                  </to>
                </anchor>
              </controlPr>
            </control>
          </mc:Choice>
        </mc:AlternateContent>
        <mc:AlternateContent xmlns:mc="http://schemas.openxmlformats.org/markup-compatibility/2006">
          <mc:Choice Requires="x14">
            <control shapeId="1048" r:id="rId22" name="Check Box 24">
              <controlPr defaultSize="0" autoFill="0" autoLine="0" autoPict="0">
                <anchor moveWithCells="1">
                  <from>
                    <xdr:col>6</xdr:col>
                    <xdr:colOff>66675</xdr:colOff>
                    <xdr:row>16</xdr:row>
                    <xdr:rowOff>0</xdr:rowOff>
                  </from>
                  <to>
                    <xdr:col>6</xdr:col>
                    <xdr:colOff>314325</xdr:colOff>
                    <xdr:row>17</xdr:row>
                    <xdr:rowOff>9525</xdr:rowOff>
                  </to>
                </anchor>
              </controlPr>
            </control>
          </mc:Choice>
        </mc:AlternateContent>
        <mc:AlternateContent xmlns:mc="http://schemas.openxmlformats.org/markup-compatibility/2006">
          <mc:Choice Requires="x14">
            <control shapeId="1051" r:id="rId23" name="Check Box 27">
              <controlPr defaultSize="0" autoFill="0" autoLine="0" autoPict="0">
                <anchor moveWithCells="1">
                  <from>
                    <xdr:col>6</xdr:col>
                    <xdr:colOff>66675</xdr:colOff>
                    <xdr:row>33</xdr:row>
                    <xdr:rowOff>0</xdr:rowOff>
                  </from>
                  <to>
                    <xdr:col>6</xdr:col>
                    <xdr:colOff>314325</xdr:colOff>
                    <xdr:row>34</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D18 D12 D25 D31:D35 D37</xm:sqref>
        </x14:conditionalFormatting>
        <x14:conditionalFormatting xmlns:xm="http://schemas.microsoft.com/office/excel/2006/main">
          <x14:cfRule type="dataBar" id="{157D7A9D-FA4F-4069-80DF-DC1D3E2F6BD0}">
            <x14:dataBar minLength="0" maxLength="100" gradient="0">
              <x14:cfvo type="num">
                <xm:f>0</xm:f>
              </x14:cfvo>
              <x14:cfvo type="num">
                <xm:f>1</xm:f>
              </x14:cfvo>
              <x14:negativeFillColor rgb="FFFF0000"/>
              <x14:axisColor rgb="FF000000"/>
            </x14:dataBar>
          </x14:cfRule>
          <xm:sqref>G32:G35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5F80F839-78EF-4FF4-A673-3CC84279C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4A34E49-7289-4AEA-9593-4F55E04ADB10}">
  <ds:schemaRefs>
    <ds:schemaRef ds:uri="http://schemas.microsoft.com/sharepoint/v3/contenttype/forms"/>
  </ds:schemaRefs>
</ds:datastoreItem>
</file>

<file path=customXml/itemProps3.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Properties xmlns="http://schemas.openxmlformats.org/officeDocument/2006/extended-properties" xmlns:vt="http://schemas.openxmlformats.org/officeDocument/2006/docPropsVTypes">
  <Template>TM16400962</Template>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6</vt:i4>
      </vt:variant>
    </vt:vector>
  </HeadingPairs>
  <TitlesOfParts>
    <vt:vector size="7" baseType="lpstr">
      <vt:lpstr>Projektplan</vt:lpstr>
      <vt:lpstr>Anzeigewoche</vt:lpstr>
      <vt:lpstr>Projektplan!Drucktitel</vt:lpstr>
      <vt:lpstr>Projektanfang</vt:lpstr>
      <vt:lpstr>Projektplan!task_duration</vt:lpstr>
      <vt:lpstr>Projektplan!task_end</vt:lpstr>
      <vt:lpstr>Projektplan!task_start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2024-06-15T00:03:40Z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